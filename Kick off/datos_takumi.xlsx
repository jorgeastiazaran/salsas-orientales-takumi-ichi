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geastiazaran/Library/CloudStorage/GoogleDrive-tecnofoodmx@gmail.com/My Drive/Tecnofood-Mr Wings/PRODUCCIÓN Y DESARROLLO/DESARROLLO/Innovación/Salsas orientales/Kick off/"/>
    </mc:Choice>
  </mc:AlternateContent>
  <xr:revisionPtr revIDLastSave="0" documentId="13_ncr:1_{4FFFB7A3-E063-CA48-BD7E-87AEBE7B9660}" xr6:coauthVersionLast="47" xr6:coauthVersionMax="47" xr10:uidLastSave="{00000000-0000-0000-0000-000000000000}"/>
  <bookViews>
    <workbookView xWindow="3420" yWindow="25700" windowWidth="29400" windowHeight="18440" activeTab="4" xr2:uid="{00000000-000D-0000-FFFF-FFFF00000000}"/>
  </bookViews>
  <sheets>
    <sheet name="Productos" sheetId="1" r:id="rId1"/>
    <sheet name="Restaurantes" sheetId="2" r:id="rId2"/>
    <sheet name="FoodService" sheetId="3" r:id="rId3"/>
    <sheet name="Retail" sheetId="4" r:id="rId4"/>
    <sheet name="Competidores" sheetId="5" r:id="rId5"/>
    <sheet name="Financier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5" l="1"/>
  <c r="E14" i="5"/>
  <c r="E13" i="5"/>
  <c r="E12" i="5"/>
  <c r="E9" i="5"/>
  <c r="E3" i="5"/>
  <c r="E4" i="5"/>
  <c r="E5" i="5"/>
  <c r="E6" i="5"/>
  <c r="E7" i="5"/>
  <c r="E8" i="5"/>
  <c r="E2" i="5"/>
</calcChain>
</file>

<file path=xl/sharedStrings.xml><?xml version="1.0" encoding="utf-8"?>
<sst xmlns="http://schemas.openxmlformats.org/spreadsheetml/2006/main" count="257" uniqueCount="205">
  <si>
    <t>kanji</t>
  </si>
  <si>
    <t>nombre</t>
  </si>
  <si>
    <t>lema</t>
  </si>
  <si>
    <t>colorLema</t>
  </si>
  <si>
    <t>imagen</t>
  </si>
  <si>
    <t>clientes</t>
  </si>
  <si>
    <t>competencia</t>
  </si>
  <si>
    <t>oportunidad</t>
  </si>
  <si>
    <t>醤油</t>
  </si>
  <si>
    <t>Salsa de Soya</t>
  </si>
  <si>
    <t>¡Motor del Wok!</t>
  </si>
  <si>
    <t>text-takumi-red</t>
  </si>
  <si>
    <t>Takumi Ichi - Soya.jpg</t>
  </si>
  <si>
    <t>Restaurantes de Sushi, Dark Kitchens asiáticas, Comedores industriales, Wok stations.</t>
  </si>
  <si>
    <t>Kikkoman (Formato Bulk/Industrial), Maggi (Variante soya).</t>
  </si>
  <si>
    <t>Reemplazar marcas genéricas ofreciendo 'estatus visual' en cocina y un sabor premium a un menor costo por porción.</t>
  </si>
  <si>
    <t>牡蠣油</t>
  </si>
  <si>
    <t>Salsa de Ostión</t>
  </si>
  <si>
    <t>¡Esencia del Mar!</t>
  </si>
  <si>
    <t>text-blue-600</t>
  </si>
  <si>
    <t>Takumi Ichi - Ostion.jpg</t>
  </si>
  <si>
    <t>Restaurantes de comida china, Marisquerías fusión (estilo Sinaloa), Hoteles All-Inclusive.</t>
  </si>
  <si>
    <t>Lee Kum Kee (Panda Brand), Salsas nacionales genéricas.</t>
  </si>
  <si>
    <t>Ofrecer una densidad superior para glaseados estables que no se 'corten' con las altas temperaturas del wok.</t>
  </si>
  <si>
    <t>照り焼き</t>
  </si>
  <si>
    <t>Salsa Teriyaki</t>
  </si>
  <si>
    <t>¡Glaseado Maestro!</t>
  </si>
  <si>
    <t>text-amber-700</t>
  </si>
  <si>
    <t>Takumi Ichi - Teriyaki.jpg</t>
  </si>
  <si>
    <t>Planchas de Teppanyaki, Food Trucks de Rice Bowls, Cadenas de comida rápida asiática.</t>
  </si>
  <si>
    <t>Teriyaki Kikkoman, Salsas de retail adaptadas a food-service.</t>
  </si>
  <si>
    <t>Alto nivel de viscosidad y brillo (Perfect Gloss). Reduce el tiempo de reducción en plancha, ahorrando gas y tiempo de servicio.</t>
  </si>
  <si>
    <t>ポン酢</t>
  </si>
  <si>
    <t>Salsa Ponzu</t>
  </si>
  <si>
    <t>¡Frescura Cítrica!</t>
  </si>
  <si>
    <t>text-green-600</t>
  </si>
  <si>
    <t>Takumi Ichi - Ponzu.jpg</t>
  </si>
  <si>
    <t>Barras de Sushi premium, Mixología asiática (Coctelería), Franquicias de Poke Bowls.</t>
  </si>
  <si>
    <t>Mizkan, Kikkoman Ponzu Limón.</t>
  </si>
  <si>
    <t>El boom del 'Poke' exige marinados ligeros. Nuestra fórmula balanceada resalta la proteína sin opacarla con exceso de sodio.</t>
  </si>
  <si>
    <t>鰻のたれ</t>
  </si>
  <si>
    <t>Salsa de Anguila</t>
  </si>
  <si>
    <t>¡Sabor Maestro Ahumado!</t>
  </si>
  <si>
    <t>text-amber-800</t>
  </si>
  <si>
    <t>Takumi Ichi - Anguila.jpg</t>
  </si>
  <si>
    <t>Barras de Sushi de alta gama, Restaurantes de autor, Cocinas de especialidad nipona.</t>
  </si>
  <si>
    <t>Salsas de importación directa japonesa (alto costo).</t>
  </si>
  <si>
    <t>Sustituir importaciones costosas ofreciendo idéntico perfil umami, dulzor y densidad, pero con logística y precio local.</t>
  </si>
  <si>
    <t>甘酢</t>
  </si>
  <si>
    <t>Salsa Agridulce</t>
  </si>
  <si>
    <t>¡Equilibrio Total!</t>
  </si>
  <si>
    <t>text-orange-500</t>
  </si>
  <si>
    <t>Takumi Ichi - Agridulce.jpg</t>
  </si>
  <si>
    <t>Buffets de comida china, Fast Food, Negocios de botanas fusión y empanizados.</t>
  </si>
  <si>
    <t>Marcas de gran consumo enfocadas en retail (McCormick, etc.).</t>
  </si>
  <si>
    <t>Evita el sabor artificial/metálico de la competencia. Su color naranja vibrante mejora drásticamente la presentación visual en bandejas de buffet.</t>
  </si>
  <si>
    <t>シラチャ</t>
  </si>
  <si>
    <t>Salsa Sriracha</t>
  </si>
  <si>
    <t>¡Pura Picancía de Fuego!</t>
  </si>
  <si>
    <t>text-red-600</t>
  </si>
  <si>
    <t>Takumi Ichi - Sriracha.jpg</t>
  </si>
  <si>
    <t>Pizzerías modernas, Franquicias de Alitas (Wings), Hamburgueserías gourmet, Food Trucks.</t>
  </si>
  <si>
    <t>Huy Fong (El Gallo original), Tabasco Sriracha.</t>
  </si>
  <si>
    <t>Aprovechar la inestabilidad de suministro del líder global. Posicionarnos como el 'Sustituto Maestro' con abasto garantizado y calidad de importación.</t>
  </si>
  <si>
    <t>激辛</t>
  </si>
  <si>
    <t>Salsa Samyang</t>
  </si>
  <si>
    <t>¡Explosión de Furia!</t>
  </si>
  <si>
    <t>text-red-700</t>
  </si>
  <si>
    <t>Takumi Ichi - Samyang.jpg</t>
  </si>
  <si>
    <t>Ramen Shops especializados, Restaurantes enfocados en Generación Z, Retos de comida picante, Alitas extremas.</t>
  </si>
  <si>
    <t>Buldak Samyang (Formatos pequeños de retail).</t>
  </si>
  <si>
    <t>Innovación total en Food-Service. Brindar economía de escala en formato galón para negocios que capitalizan el 'Buldak Trend' sin comprar botellas minoristas.</t>
  </si>
  <si>
    <t>マヨチポトレ</t>
  </si>
  <si>
    <t>Mayo Chipotle</t>
  </si>
  <si>
    <t>¡Fusión Ahumada!</t>
  </si>
  <si>
    <t>text-orange-700</t>
  </si>
  <si>
    <t>Takumi Ichi - Mayo Chipotle.jpg</t>
  </si>
  <si>
    <t>Barras de sushi mexicanizado (Makigoma, Empanizados), Cafeterías, Dark Kitchens de Delivery masivo.</t>
  </si>
  <si>
    <t>Hellmann's Chipotle, McCormick, Elaboración 'In-house'.</t>
  </si>
  <si>
    <t>concepto</t>
  </si>
  <si>
    <t>tagColor</t>
  </si>
  <si>
    <t>ciudades</t>
  </si>
  <si>
    <t>sucursales</t>
  </si>
  <si>
    <t>Sushi Itto</t>
  </si>
  <si>
    <t>Sushi Fusión / Casual Dining</t>
  </si>
  <si>
    <t>bg-blue-100 text-blue-800</t>
  </si>
  <si>
    <t>Nacional + Internacional</t>
  </si>
  <si>
    <t>140+</t>
  </si>
  <si>
    <t>Sushi Roll</t>
  </si>
  <si>
    <t>Sushi Mexicanizado / Masivo</t>
  </si>
  <si>
    <t>Nacional (Alta concentración Centro)</t>
  </si>
  <si>
    <t>90+</t>
  </si>
  <si>
    <t>Sukiya</t>
  </si>
  <si>
    <t>Fast Food Japonés (Gyudon)</t>
  </si>
  <si>
    <t>bg-red-100 text-red-800</t>
  </si>
  <si>
    <t>CDMX, EdoMex, Qro, MTY</t>
  </si>
  <si>
    <t>40+</t>
  </si>
  <si>
    <t>P.F. Chang's</t>
  </si>
  <si>
    <t>Casual Dining Panasiático</t>
  </si>
  <si>
    <t>bg-green-100 text-green-800</t>
  </si>
  <si>
    <t>Principales capitales</t>
  </si>
  <si>
    <t>30+</t>
  </si>
  <si>
    <t>Panda Express</t>
  </si>
  <si>
    <t>Fast Food Chino Americano</t>
  </si>
  <si>
    <t>bg-yellow-100 text-yellow-800</t>
  </si>
  <si>
    <t>CDMX, EdoMex</t>
  </si>
  <si>
    <t>25+</t>
  </si>
  <si>
    <t>Moshi Moshi</t>
  </si>
  <si>
    <t>Kaiten Sushi / Premium Casual</t>
  </si>
  <si>
    <t>CDMX, EdoMex, Querétaro</t>
  </si>
  <si>
    <t>20+</t>
  </si>
  <si>
    <t>Señor Sushi / Kampai</t>
  </si>
  <si>
    <t>Sushi Estilo Norteño</t>
  </si>
  <si>
    <t>bg-orange-100 text-orange-800</t>
  </si>
  <si>
    <t>Sonora, Sinaloa, Monterrey</t>
  </si>
  <si>
    <t>Yamasan Ramen House</t>
  </si>
  <si>
    <t>Ramen Especializado</t>
  </si>
  <si>
    <t>bg-purple-100 text-purple-800</t>
  </si>
  <si>
    <t>CDMX, Monterrey, Querétaro</t>
  </si>
  <si>
    <t>5+</t>
  </si>
  <si>
    <t>cobertura</t>
  </si>
  <si>
    <t>enfoque</t>
  </si>
  <si>
    <t>Pacific Star Foodservice</t>
  </si>
  <si>
    <t>Nacional</t>
  </si>
  <si>
    <t>Cadenas de restaurantes top, Hotelería corporativa y franquicias internacionales.</t>
  </si>
  <si>
    <t>Sigma Foodservice</t>
  </si>
  <si>
    <t>Restaurantes independientes, Comedores industriales y Pizzerías.</t>
  </si>
  <si>
    <t>Mayoristas Especializados Turísticos</t>
  </si>
  <si>
    <t>Cancún, Cabos, Vallarta</t>
  </si>
  <si>
    <t>Hoteles All-Inclusive y Resorts (Alta demanda de Teriyaki y Soya para buffets).</t>
  </si>
  <si>
    <t>Proveedores Insumos Asiáticos</t>
  </si>
  <si>
    <t>CDMX, GDL, MTY</t>
  </si>
  <si>
    <t>Especialistas que surten a Dark Kitchens, carritos de sushi y Ramen Shops locales.</t>
  </si>
  <si>
    <t>canal</t>
  </si>
  <si>
    <t>formato</t>
  </si>
  <si>
    <t>publico</t>
  </si>
  <si>
    <t>Sam's Club / Costco / City Club</t>
  </si>
  <si>
    <t>Club de Precios (Membresía)</t>
  </si>
  <si>
    <t>Dueños de negocios pequeños, carritos de comida y consumidores masivos.</t>
  </si>
  <si>
    <t>Zorro Abarrotero / Scorpion / Puma</t>
  </si>
  <si>
    <t>Mayorista Abarrotero</t>
  </si>
  <si>
    <t>Fondas, Taquerías, Puestos de Sushi banqueteros (Alta rotación de Mayo Chipotle).</t>
  </si>
  <si>
    <t>Centrales de Abasto</t>
  </si>
  <si>
    <t>Mercado Mayorista Tradicional</t>
  </si>
  <si>
    <t>Restaurantes locales, compras por volumen. Sensibles al precio/rendimiento.</t>
  </si>
  <si>
    <t>Cadenas de Autoservicio (Mayoreo)</t>
  </si>
  <si>
    <t>Retail Cajas / Volumen</t>
  </si>
  <si>
    <t>Autoservicios que actúan como proveedor local en el Norte y Bajío (Ej. Casa Ley).</t>
  </si>
  <si>
    <t>marca</t>
  </si>
  <si>
    <t>precio</t>
  </si>
  <si>
    <t>$140.00</t>
  </si>
  <si>
    <t>$160.00</t>
  </si>
  <si>
    <t>$180.00</t>
  </si>
  <si>
    <t>producto</t>
  </si>
  <si>
    <t>cop</t>
  </si>
  <si>
    <t>rentabilidad</t>
  </si>
  <si>
    <t>margen</t>
  </si>
  <si>
    <t>$95.00</t>
  </si>
  <si>
    <t>$210.00</t>
  </si>
  <si>
    <t>$115.00</t>
  </si>
  <si>
    <t>54.7%</t>
  </si>
  <si>
    <t>$120.00</t>
  </si>
  <si>
    <t>$270.00</t>
  </si>
  <si>
    <t>$150.00</t>
  </si>
  <si>
    <t>55.5%</t>
  </si>
  <si>
    <t>$110.00</t>
  </si>
  <si>
    <t>$250.00</t>
  </si>
  <si>
    <t>56.0%</t>
  </si>
  <si>
    <t>$105.00</t>
  </si>
  <si>
    <t>$240.00</t>
  </si>
  <si>
    <t>$135.00</t>
  </si>
  <si>
    <t>56.2%</t>
  </si>
  <si>
    <t>$390.00</t>
  </si>
  <si>
    <t>53.8%</t>
  </si>
  <si>
    <t>$90.00</t>
  </si>
  <si>
    <t>$195.00</t>
  </si>
  <si>
    <t>$310.00</t>
  </si>
  <si>
    <t>$170.00</t>
  </si>
  <si>
    <t>54.8%</t>
  </si>
  <si>
    <t>$360.00</t>
  </si>
  <si>
    <t>$200.00</t>
  </si>
  <si>
    <t>$130.00</t>
  </si>
  <si>
    <t>$290.00</t>
  </si>
  <si>
    <t>55.1%</t>
  </si>
  <si>
    <t>sabor</t>
  </si>
  <si>
    <t>costo/kg</t>
  </si>
  <si>
    <t>Salsa de ostion</t>
  </si>
  <si>
    <t>Lee kum kee</t>
  </si>
  <si>
    <t>Thaui prestige</t>
  </si>
  <si>
    <t>Uteki</t>
  </si>
  <si>
    <t>Haday</t>
  </si>
  <si>
    <t>Kikkoman</t>
  </si>
  <si>
    <t>Teriyaki</t>
  </si>
  <si>
    <t>ML</t>
  </si>
  <si>
    <t>Sams</t>
  </si>
  <si>
    <t>Amazon</t>
  </si>
  <si>
    <t>Walmart</t>
  </si>
  <si>
    <t>HEB</t>
  </si>
  <si>
    <t>Producto de alta rotación. No hay competencia directa en formato Food Service.</t>
  </si>
  <si>
    <t>Maayo chipotle</t>
  </si>
  <si>
    <t>Mccormick</t>
  </si>
  <si>
    <t>Valant</t>
  </si>
  <si>
    <t>Zaaschila</t>
  </si>
  <si>
    <t>Agnez</t>
  </si>
  <si>
    <t>De yucatan para el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</si>
</sst>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.0_);_(&quot;$&quot;* \(#,##0.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E2" sqref="E2"/>
    </sheetView>
  </sheetViews>
  <sheetFormatPr baseColWidth="10" defaultRowHeight="16" x14ac:dyDescent="0.2"/>
  <cols>
    <col min="2" max="2" width="14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198</v>
      </c>
    </row>
  </sheetData>
  <pageMargins left="0.7" right="0.7" top="0.75" bottom="0.75" header="0.3" footer="0.3"/>
  <ignoredErrors>
    <ignoredError sqref="A1:H9 A10:G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RowHeight="16" x14ac:dyDescent="0.2"/>
  <sheetData>
    <row r="1" spans="1:5" x14ac:dyDescent="0.2">
      <c r="A1" t="s">
        <v>1</v>
      </c>
      <c r="B1" t="s">
        <v>79</v>
      </c>
      <c r="C1" t="s">
        <v>80</v>
      </c>
      <c r="D1" t="s">
        <v>81</v>
      </c>
      <c r="E1" t="s">
        <v>82</v>
      </c>
    </row>
    <row r="2" spans="1:5" x14ac:dyDescent="0.2">
      <c r="A2" t="s">
        <v>83</v>
      </c>
      <c r="B2" t="s">
        <v>84</v>
      </c>
      <c r="C2" t="s">
        <v>85</v>
      </c>
      <c r="D2" t="s">
        <v>86</v>
      </c>
      <c r="E2" t="s">
        <v>87</v>
      </c>
    </row>
    <row r="3" spans="1:5" x14ac:dyDescent="0.2">
      <c r="A3" t="s">
        <v>88</v>
      </c>
      <c r="B3" t="s">
        <v>89</v>
      </c>
      <c r="C3" t="s">
        <v>85</v>
      </c>
      <c r="D3" t="s">
        <v>90</v>
      </c>
      <c r="E3" t="s">
        <v>91</v>
      </c>
    </row>
    <row r="4" spans="1:5" x14ac:dyDescent="0.2">
      <c r="A4" t="s">
        <v>92</v>
      </c>
      <c r="B4" t="s">
        <v>93</v>
      </c>
      <c r="C4" t="s">
        <v>94</v>
      </c>
      <c r="D4" t="s">
        <v>95</v>
      </c>
      <c r="E4" t="s">
        <v>96</v>
      </c>
    </row>
    <row r="5" spans="1:5" x14ac:dyDescent="0.2">
      <c r="A5" t="s">
        <v>97</v>
      </c>
      <c r="B5" t="s">
        <v>98</v>
      </c>
      <c r="C5" t="s">
        <v>99</v>
      </c>
      <c r="D5" t="s">
        <v>100</v>
      </c>
      <c r="E5" t="s">
        <v>101</v>
      </c>
    </row>
    <row r="6" spans="1:5" x14ac:dyDescent="0.2">
      <c r="A6" t="s">
        <v>102</v>
      </c>
      <c r="B6" t="s">
        <v>103</v>
      </c>
      <c r="C6" t="s">
        <v>104</v>
      </c>
      <c r="D6" t="s">
        <v>105</v>
      </c>
      <c r="E6" t="s">
        <v>106</v>
      </c>
    </row>
    <row r="7" spans="1:5" x14ac:dyDescent="0.2">
      <c r="A7" t="s">
        <v>107</v>
      </c>
      <c r="B7" t="s">
        <v>108</v>
      </c>
      <c r="C7" t="s">
        <v>85</v>
      </c>
      <c r="D7" t="s">
        <v>109</v>
      </c>
      <c r="E7" t="s">
        <v>110</v>
      </c>
    </row>
    <row r="8" spans="1:5" x14ac:dyDescent="0.2">
      <c r="A8" t="s">
        <v>111</v>
      </c>
      <c r="B8" t="s">
        <v>112</v>
      </c>
      <c r="C8" t="s">
        <v>113</v>
      </c>
      <c r="D8" t="s">
        <v>114</v>
      </c>
      <c r="E8" t="s">
        <v>110</v>
      </c>
    </row>
    <row r="9" spans="1:5" x14ac:dyDescent="0.2">
      <c r="A9" t="s">
        <v>115</v>
      </c>
      <c r="B9" t="s">
        <v>116</v>
      </c>
      <c r="C9" t="s">
        <v>117</v>
      </c>
      <c r="D9" t="s">
        <v>118</v>
      </c>
      <c r="E9" t="s">
        <v>119</v>
      </c>
    </row>
  </sheetData>
  <pageMargins left="0.7" right="0.7" top="0.75" bottom="0.75" header="0.3" footer="0.3"/>
  <ignoredErrors>
    <ignoredError sqref="A1:E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RowHeight="16" x14ac:dyDescent="0.2"/>
  <sheetData>
    <row r="1" spans="1:4" x14ac:dyDescent="0.2">
      <c r="A1" t="s">
        <v>1</v>
      </c>
      <c r="B1" t="s">
        <v>120</v>
      </c>
      <c r="C1" t="s">
        <v>80</v>
      </c>
      <c r="D1" t="s">
        <v>121</v>
      </c>
    </row>
    <row r="2" spans="1:4" x14ac:dyDescent="0.2">
      <c r="A2" t="s">
        <v>122</v>
      </c>
      <c r="B2" t="s">
        <v>123</v>
      </c>
      <c r="C2" t="s">
        <v>85</v>
      </c>
      <c r="D2" t="s">
        <v>124</v>
      </c>
    </row>
    <row r="3" spans="1:4" x14ac:dyDescent="0.2">
      <c r="A3" t="s">
        <v>125</v>
      </c>
      <c r="B3" t="s">
        <v>123</v>
      </c>
      <c r="C3" t="s">
        <v>85</v>
      </c>
      <c r="D3" t="s">
        <v>126</v>
      </c>
    </row>
    <row r="4" spans="1:4" x14ac:dyDescent="0.2">
      <c r="A4" t="s">
        <v>127</v>
      </c>
      <c r="B4" t="s">
        <v>128</v>
      </c>
      <c r="C4" t="s">
        <v>113</v>
      </c>
      <c r="D4" t="s">
        <v>129</v>
      </c>
    </row>
    <row r="5" spans="1:4" x14ac:dyDescent="0.2">
      <c r="A5" t="s">
        <v>130</v>
      </c>
      <c r="B5" t="s">
        <v>131</v>
      </c>
      <c r="C5" t="s">
        <v>99</v>
      </c>
      <c r="D5" t="s">
        <v>132</v>
      </c>
    </row>
  </sheetData>
  <pageMargins left="0.7" right="0.7" top="0.75" bottom="0.75" header="0.3" footer="0.3"/>
  <ignoredErrors>
    <ignoredError sqref="A1:D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baseColWidth="10" defaultRowHeight="16" x14ac:dyDescent="0.2"/>
  <sheetData>
    <row r="1" spans="1:4" x14ac:dyDescent="0.2">
      <c r="A1" t="s">
        <v>133</v>
      </c>
      <c r="B1" t="s">
        <v>134</v>
      </c>
      <c r="C1" t="s">
        <v>80</v>
      </c>
      <c r="D1" t="s">
        <v>135</v>
      </c>
    </row>
    <row r="2" spans="1:4" x14ac:dyDescent="0.2">
      <c r="A2" t="s">
        <v>136</v>
      </c>
      <c r="B2" t="s">
        <v>137</v>
      </c>
      <c r="C2" t="s">
        <v>104</v>
      </c>
      <c r="D2" t="s">
        <v>138</v>
      </c>
    </row>
    <row r="3" spans="1:4" x14ac:dyDescent="0.2">
      <c r="A3" t="s">
        <v>139</v>
      </c>
      <c r="B3" t="s">
        <v>140</v>
      </c>
      <c r="C3" t="s">
        <v>117</v>
      </c>
      <c r="D3" t="s">
        <v>141</v>
      </c>
    </row>
    <row r="4" spans="1:4" x14ac:dyDescent="0.2">
      <c r="A4" t="s">
        <v>142</v>
      </c>
      <c r="B4" t="s">
        <v>143</v>
      </c>
      <c r="C4" t="s">
        <v>94</v>
      </c>
      <c r="D4" t="s">
        <v>144</v>
      </c>
    </row>
    <row r="5" spans="1:4" x14ac:dyDescent="0.2">
      <c r="A5" t="s">
        <v>145</v>
      </c>
      <c r="B5" t="s">
        <v>146</v>
      </c>
      <c r="C5" t="s">
        <v>85</v>
      </c>
      <c r="D5" t="s">
        <v>147</v>
      </c>
    </row>
  </sheetData>
  <pageMargins left="0.7" right="0.7" top="0.75" bottom="0.75" header="0.3" footer="0.3"/>
  <ignoredErrors>
    <ignoredError sqref="A1:D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abSelected="1" workbookViewId="0">
      <selection activeCell="F13" sqref="F13"/>
    </sheetView>
  </sheetViews>
  <sheetFormatPr baseColWidth="10" defaultRowHeight="16" x14ac:dyDescent="0.2"/>
  <cols>
    <col min="1" max="1" width="13.5" bestFit="1" customWidth="1"/>
  </cols>
  <sheetData>
    <row r="1" spans="1:6" x14ac:dyDescent="0.2">
      <c r="A1" t="s">
        <v>184</v>
      </c>
      <c r="B1" t="s">
        <v>148</v>
      </c>
      <c r="C1" t="s">
        <v>134</v>
      </c>
      <c r="D1" t="s">
        <v>149</v>
      </c>
      <c r="E1" t="s">
        <v>185</v>
      </c>
      <c r="F1" t="s">
        <v>133</v>
      </c>
    </row>
    <row r="2" spans="1:6" x14ac:dyDescent="0.2">
      <c r="A2" t="s">
        <v>186</v>
      </c>
      <c r="B2" t="s">
        <v>187</v>
      </c>
      <c r="C2">
        <v>2.2000000000000002</v>
      </c>
      <c r="D2" s="1">
        <v>144</v>
      </c>
      <c r="E2" s="2">
        <f>D2/C2</f>
        <v>65.454545454545453</v>
      </c>
      <c r="F2" t="s">
        <v>193</v>
      </c>
    </row>
    <row r="3" spans="1:6" x14ac:dyDescent="0.2">
      <c r="A3" t="s">
        <v>186</v>
      </c>
      <c r="B3" t="s">
        <v>188</v>
      </c>
      <c r="C3">
        <v>0.77</v>
      </c>
      <c r="D3" s="1">
        <v>73.650000000000006</v>
      </c>
      <c r="E3" s="2">
        <f t="shared" ref="E3:E9" si="0">D3/C3</f>
        <v>95.649350649350652</v>
      </c>
      <c r="F3" t="s">
        <v>194</v>
      </c>
    </row>
    <row r="4" spans="1:6" x14ac:dyDescent="0.2">
      <c r="A4" t="s">
        <v>186</v>
      </c>
      <c r="B4" t="s">
        <v>187</v>
      </c>
      <c r="C4">
        <v>2.2000000000000002</v>
      </c>
      <c r="D4" s="1">
        <v>209</v>
      </c>
      <c r="E4" s="2">
        <f t="shared" si="0"/>
        <v>94.999999999999986</v>
      </c>
      <c r="F4" t="s">
        <v>195</v>
      </c>
    </row>
    <row r="5" spans="1:6" x14ac:dyDescent="0.2">
      <c r="A5" t="s">
        <v>186</v>
      </c>
      <c r="B5" t="s">
        <v>189</v>
      </c>
      <c r="C5">
        <v>0.27</v>
      </c>
      <c r="D5" s="1">
        <v>40</v>
      </c>
      <c r="E5" s="2">
        <f t="shared" si="0"/>
        <v>148.14814814814815</v>
      </c>
      <c r="F5" t="s">
        <v>196</v>
      </c>
    </row>
    <row r="6" spans="1:6" x14ac:dyDescent="0.2">
      <c r="A6" t="s">
        <v>186</v>
      </c>
      <c r="B6" t="s">
        <v>187</v>
      </c>
      <c r="C6">
        <v>2.27</v>
      </c>
      <c r="D6" s="1">
        <v>244</v>
      </c>
      <c r="E6" s="2">
        <f t="shared" si="0"/>
        <v>107.48898678414096</v>
      </c>
      <c r="F6" t="s">
        <v>197</v>
      </c>
    </row>
    <row r="7" spans="1:6" x14ac:dyDescent="0.2">
      <c r="A7" t="s">
        <v>186</v>
      </c>
      <c r="B7" t="s">
        <v>190</v>
      </c>
      <c r="C7">
        <v>2.27</v>
      </c>
      <c r="D7" s="1">
        <v>239</v>
      </c>
      <c r="E7" s="2">
        <f t="shared" si="0"/>
        <v>105.2863436123348</v>
      </c>
      <c r="F7" t="s">
        <v>193</v>
      </c>
    </row>
    <row r="8" spans="1:6" x14ac:dyDescent="0.2">
      <c r="A8" t="s">
        <v>186</v>
      </c>
      <c r="B8" t="s">
        <v>191</v>
      </c>
      <c r="C8">
        <v>2.27</v>
      </c>
      <c r="D8" s="1">
        <v>380</v>
      </c>
      <c r="E8" s="2">
        <f t="shared" si="0"/>
        <v>167.40088105726872</v>
      </c>
      <c r="F8" t="s">
        <v>193</v>
      </c>
    </row>
    <row r="9" spans="1:6" x14ac:dyDescent="0.2">
      <c r="A9" t="s">
        <v>192</v>
      </c>
      <c r="B9" t="s">
        <v>191</v>
      </c>
      <c r="C9">
        <v>2.27</v>
      </c>
      <c r="D9" s="1">
        <v>330</v>
      </c>
      <c r="E9" s="2">
        <f t="shared" si="0"/>
        <v>145.37444933920705</v>
      </c>
      <c r="F9" t="s">
        <v>193</v>
      </c>
    </row>
    <row r="12" spans="1:6" x14ac:dyDescent="0.2">
      <c r="A12" t="s">
        <v>199</v>
      </c>
      <c r="B12" t="s">
        <v>200</v>
      </c>
      <c r="C12">
        <v>0.31</v>
      </c>
      <c r="D12" s="1">
        <v>32</v>
      </c>
      <c r="E12" s="2">
        <f t="shared" ref="E12:E15" si="1">D12/C12</f>
        <v>103.22580645161291</v>
      </c>
      <c r="F12" t="s">
        <v>200</v>
      </c>
    </row>
    <row r="13" spans="1:6" x14ac:dyDescent="0.2">
      <c r="A13" t="s">
        <v>199</v>
      </c>
      <c r="B13" t="s">
        <v>201</v>
      </c>
      <c r="C13">
        <v>3.8</v>
      </c>
      <c r="D13" s="1">
        <v>299</v>
      </c>
      <c r="E13" s="2">
        <f t="shared" si="1"/>
        <v>78.684210526315795</v>
      </c>
      <c r="F13" t="s">
        <v>203</v>
      </c>
    </row>
    <row r="14" spans="1:6" x14ac:dyDescent="0.2">
      <c r="A14" t="s">
        <v>199</v>
      </c>
      <c r="B14" t="s">
        <v>202</v>
      </c>
      <c r="C14">
        <v>0.42499999999999999</v>
      </c>
      <c r="D14" s="1">
        <v>41</v>
      </c>
      <c r="E14" s="2">
        <f t="shared" si="1"/>
        <v>96.470588235294116</v>
      </c>
      <c r="F14" t="s">
        <v>196</v>
      </c>
    </row>
    <row r="15" spans="1:6" x14ac:dyDescent="0.2">
      <c r="A15" t="s">
        <v>199</v>
      </c>
      <c r="B15" t="s">
        <v>202</v>
      </c>
      <c r="C15">
        <v>2</v>
      </c>
      <c r="D15" s="1">
        <v>225</v>
      </c>
      <c r="E15" s="2">
        <f t="shared" si="1"/>
        <v>112.5</v>
      </c>
      <c r="F15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B2" sqref="B2"/>
    </sheetView>
  </sheetViews>
  <sheetFormatPr baseColWidth="10" defaultRowHeight="16" x14ac:dyDescent="0.2"/>
  <sheetData>
    <row r="1" spans="1:5" x14ac:dyDescent="0.2">
      <c r="A1" t="s">
        <v>153</v>
      </c>
      <c r="B1" t="s">
        <v>154</v>
      </c>
      <c r="C1" t="s">
        <v>149</v>
      </c>
      <c r="D1" t="s">
        <v>155</v>
      </c>
      <c r="E1" t="s">
        <v>156</v>
      </c>
    </row>
    <row r="2" spans="1:5" x14ac:dyDescent="0.2">
      <c r="A2" t="s">
        <v>9</v>
      </c>
      <c r="B2" t="s">
        <v>157</v>
      </c>
      <c r="C2" t="s">
        <v>158</v>
      </c>
      <c r="D2" t="s">
        <v>159</v>
      </c>
      <c r="E2" t="s">
        <v>160</v>
      </c>
    </row>
    <row r="3" spans="1:5" x14ac:dyDescent="0.2">
      <c r="A3" t="s">
        <v>17</v>
      </c>
      <c r="B3" t="s">
        <v>161</v>
      </c>
      <c r="C3" t="s">
        <v>162</v>
      </c>
      <c r="D3" t="s">
        <v>163</v>
      </c>
      <c r="E3" t="s">
        <v>164</v>
      </c>
    </row>
    <row r="4" spans="1:5" x14ac:dyDescent="0.2">
      <c r="A4" t="s">
        <v>25</v>
      </c>
      <c r="B4" t="s">
        <v>165</v>
      </c>
      <c r="C4" t="s">
        <v>166</v>
      </c>
      <c r="D4" t="s">
        <v>150</v>
      </c>
      <c r="E4" t="s">
        <v>167</v>
      </c>
    </row>
    <row r="5" spans="1:5" x14ac:dyDescent="0.2">
      <c r="A5" t="s">
        <v>33</v>
      </c>
      <c r="B5" t="s">
        <v>168</v>
      </c>
      <c r="C5" t="s">
        <v>169</v>
      </c>
      <c r="D5" t="s">
        <v>170</v>
      </c>
      <c r="E5" t="s">
        <v>171</v>
      </c>
    </row>
    <row r="6" spans="1:5" x14ac:dyDescent="0.2">
      <c r="A6" t="s">
        <v>41</v>
      </c>
      <c r="B6" t="s">
        <v>152</v>
      </c>
      <c r="C6" t="s">
        <v>172</v>
      </c>
      <c r="D6" t="s">
        <v>158</v>
      </c>
      <c r="E6" t="s">
        <v>173</v>
      </c>
    </row>
    <row r="7" spans="1:5" x14ac:dyDescent="0.2">
      <c r="A7" t="s">
        <v>49</v>
      </c>
      <c r="B7" t="s">
        <v>174</v>
      </c>
      <c r="C7" t="s">
        <v>175</v>
      </c>
      <c r="D7" t="s">
        <v>168</v>
      </c>
      <c r="E7" t="s">
        <v>173</v>
      </c>
    </row>
    <row r="8" spans="1:5" x14ac:dyDescent="0.2">
      <c r="A8" t="s">
        <v>57</v>
      </c>
      <c r="B8" t="s">
        <v>150</v>
      </c>
      <c r="C8" t="s">
        <v>176</v>
      </c>
      <c r="D8" t="s">
        <v>177</v>
      </c>
      <c r="E8" t="s">
        <v>178</v>
      </c>
    </row>
    <row r="9" spans="1:5" x14ac:dyDescent="0.2">
      <c r="A9" t="s">
        <v>65</v>
      </c>
      <c r="B9" t="s">
        <v>151</v>
      </c>
      <c r="C9" t="s">
        <v>179</v>
      </c>
      <c r="D9" t="s">
        <v>180</v>
      </c>
      <c r="E9" t="s">
        <v>164</v>
      </c>
    </row>
    <row r="10" spans="1:5" x14ac:dyDescent="0.2">
      <c r="A10" t="s">
        <v>73</v>
      </c>
      <c r="B10" t="s">
        <v>181</v>
      </c>
      <c r="C10" t="s">
        <v>182</v>
      </c>
      <c r="D10" t="s">
        <v>151</v>
      </c>
      <c r="E10" t="s">
        <v>183</v>
      </c>
    </row>
  </sheetData>
  <pageMargins left="0.7" right="0.7" top="0.75" bottom="0.75" header="0.3" footer="0.3"/>
  <ignoredErrors>
    <ignoredError sqref="A1: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Productos</vt:lpstr>
      <vt:lpstr>Restaurantes</vt:lpstr>
      <vt:lpstr>FoodService</vt:lpstr>
      <vt:lpstr>Retail</vt:lpstr>
      <vt:lpstr>Competidores</vt:lpstr>
      <vt:lpstr>Financieros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a</cp:lastModifiedBy>
  <dcterms:created xsi:type="dcterms:W3CDTF">2026-03-25T00:08:13Z</dcterms:created>
  <dcterms:modified xsi:type="dcterms:W3CDTF">2026-03-27T18:51:21Z</dcterms:modified>
</cp:coreProperties>
</file>