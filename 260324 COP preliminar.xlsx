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orgeastiazaran/Library/CloudStorage/GoogleDrive-tecnofoodmx@gmail.com/My Drive/Tecnofood-Mr Wings/PRODUCCIÓN Y DESARROLLO/DESARROLLO/Innovación/Salsas orientales/"/>
    </mc:Choice>
  </mc:AlternateContent>
  <xr:revisionPtr revIDLastSave="0" documentId="13_ncr:1_{FD41A06E-BF6C-7145-9158-282930CCD309}" xr6:coauthVersionLast="47" xr6:coauthVersionMax="47" xr10:uidLastSave="{00000000-0000-0000-0000-000000000000}"/>
  <bookViews>
    <workbookView xWindow="0" yWindow="620" windowWidth="38400" windowHeight="20980" activeTab="1" xr2:uid="{46039D41-C912-984B-9AAE-690EFE653F83}"/>
  </bookViews>
  <sheets>
    <sheet name="Sheet1" sheetId="8" r:id="rId1"/>
    <sheet name="260729 costeo" sheetId="7" r:id="rId2"/>
    <sheet name="260324 costeo" sheetId="1" r:id="rId3"/>
    <sheet name="P-0403 - Ostion" sheetId="2" r:id="rId4"/>
    <sheet name="P-0404 Teriyaki" sheetId="3" r:id="rId5"/>
    <sheet name="P-0408 Mayo Chipotle" sheetId="4" r:id="rId6"/>
    <sheet name="P-0410 Sriracha" sheetId="5" r:id="rId7"/>
    <sheet name="P-0402 Soya" sheetId="6" r:id="rId8"/>
  </sheets>
  <definedNames>
    <definedName name="_xlnm._FilterDatabase" localSheetId="2" hidden="1">'260324 costeo'!$A$1:$AL$1</definedName>
    <definedName name="_xlnm._FilterDatabase" localSheetId="1" hidden="1">'260729 costeo'!$A$1:$AN$30</definedName>
    <definedName name="_xlnm._FilterDatabase" localSheetId="7" hidden="1">'P-0402 Soya'!$A$1:$I$1</definedName>
    <definedName name="_xlnm._FilterDatabase" localSheetId="3" hidden="1">'P-0403 - Ostion'!$B$1:$H$1</definedName>
    <definedName name="_xlnm._FilterDatabase" localSheetId="4" hidden="1">'P-0404 Teriyaki'!$B$1:$I$32</definedName>
    <definedName name="_xlnm._FilterDatabase" localSheetId="5" hidden="1">'P-0408 Mayo Chipotle'!$B$1:$I$25</definedName>
    <definedName name="_xlnm._FilterDatabase" localSheetId="6" hidden="1">'P-0410 Sriracha'!$B$1:$I$30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" i="7" l="1"/>
  <c r="AI26" i="7"/>
  <c r="AI22" i="7"/>
  <c r="AI21" i="7"/>
  <c r="AI19" i="7"/>
  <c r="AI15" i="7"/>
  <c r="AI14" i="7"/>
  <c r="AI9" i="7"/>
  <c r="AI8" i="7"/>
  <c r="AI7" i="7"/>
  <c r="AI6" i="7"/>
  <c r="AI5" i="7"/>
  <c r="AI3" i="7"/>
  <c r="AI2" i="7"/>
  <c r="AD28" i="7"/>
  <c r="AD25" i="7"/>
  <c r="AD22" i="7"/>
  <c r="AD18" i="7"/>
  <c r="AD15" i="7"/>
  <c r="AD12" i="7"/>
  <c r="AD8" i="7"/>
  <c r="AD5" i="7"/>
  <c r="P25" i="7" l="1"/>
  <c r="P24" i="7"/>
  <c r="P23" i="7"/>
  <c r="P22" i="7"/>
  <c r="P21" i="7"/>
  <c r="P27" i="7"/>
  <c r="P26" i="7"/>
  <c r="P30" i="7"/>
  <c r="P29" i="7"/>
  <c r="P28" i="7"/>
  <c r="P20" i="7"/>
  <c r="P19" i="7"/>
  <c r="P18" i="7"/>
  <c r="N20" i="7"/>
  <c r="N19" i="7"/>
  <c r="N18" i="7"/>
  <c r="N30" i="7"/>
  <c r="N29" i="7"/>
  <c r="N28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N27" i="7"/>
  <c r="N26" i="7"/>
  <c r="N25" i="7"/>
  <c r="N24" i="7"/>
  <c r="N23" i="7"/>
  <c r="N22" i="7"/>
  <c r="N21" i="7"/>
  <c r="H2" i="7"/>
  <c r="H19" i="7"/>
  <c r="L19" i="7" s="1"/>
  <c r="H20" i="7"/>
  <c r="L20" i="7" s="1"/>
  <c r="H21" i="7"/>
  <c r="L21" i="7" s="1"/>
  <c r="H22" i="7"/>
  <c r="H23" i="7"/>
  <c r="L23" i="7" s="1"/>
  <c r="H24" i="7"/>
  <c r="H25" i="7"/>
  <c r="L25" i="7" s="1"/>
  <c r="H26" i="7"/>
  <c r="H27" i="7"/>
  <c r="L27" i="7" s="1"/>
  <c r="H28" i="7"/>
  <c r="L28" i="7" s="1"/>
  <c r="H29" i="7"/>
  <c r="L29" i="7" s="1"/>
  <c r="H30" i="7"/>
  <c r="L30" i="7" s="1"/>
  <c r="H18" i="7"/>
  <c r="C21" i="7"/>
  <c r="C18" i="7"/>
  <c r="C19" i="7"/>
  <c r="C20" i="7"/>
  <c r="C22" i="7"/>
  <c r="C23" i="7"/>
  <c r="C24" i="7"/>
  <c r="C25" i="7"/>
  <c r="C26" i="7"/>
  <c r="C27" i="7"/>
  <c r="C28" i="7"/>
  <c r="C29" i="7"/>
  <c r="C30" i="7"/>
  <c r="P17" i="7"/>
  <c r="O17" i="7"/>
  <c r="N17" i="7"/>
  <c r="H17" i="7"/>
  <c r="C17" i="7"/>
  <c r="P16" i="7"/>
  <c r="O16" i="7"/>
  <c r="N16" i="7"/>
  <c r="H16" i="7"/>
  <c r="C16" i="7"/>
  <c r="P15" i="7"/>
  <c r="O15" i="7"/>
  <c r="N15" i="7"/>
  <c r="H15" i="7"/>
  <c r="L15" i="7" s="1"/>
  <c r="C15" i="7"/>
  <c r="P14" i="7"/>
  <c r="O14" i="7"/>
  <c r="N14" i="7"/>
  <c r="H14" i="7"/>
  <c r="C14" i="7"/>
  <c r="P13" i="7"/>
  <c r="O13" i="7"/>
  <c r="N13" i="7"/>
  <c r="H13" i="7"/>
  <c r="C13" i="7"/>
  <c r="AP12" i="7"/>
  <c r="P12" i="7"/>
  <c r="O12" i="7"/>
  <c r="N12" i="7"/>
  <c r="H12" i="7"/>
  <c r="C12" i="7"/>
  <c r="P11" i="7"/>
  <c r="O11" i="7"/>
  <c r="N11" i="7"/>
  <c r="H11" i="7"/>
  <c r="C11" i="7"/>
  <c r="P10" i="7"/>
  <c r="O10" i="7"/>
  <c r="N10" i="7"/>
  <c r="H10" i="7"/>
  <c r="C10" i="7"/>
  <c r="P9" i="7"/>
  <c r="O9" i="7"/>
  <c r="N9" i="7"/>
  <c r="H9" i="7"/>
  <c r="C9" i="7"/>
  <c r="P8" i="7"/>
  <c r="O8" i="7"/>
  <c r="N8" i="7"/>
  <c r="H8" i="7"/>
  <c r="L8" i="7" s="1"/>
  <c r="C8" i="7"/>
  <c r="P7" i="7"/>
  <c r="O7" i="7"/>
  <c r="N7" i="7"/>
  <c r="H7" i="7"/>
  <c r="C7" i="7"/>
  <c r="P6" i="7"/>
  <c r="O6" i="7"/>
  <c r="N6" i="7"/>
  <c r="H6" i="7"/>
  <c r="C6" i="7"/>
  <c r="AP5" i="7"/>
  <c r="P5" i="7"/>
  <c r="O5" i="7"/>
  <c r="N5" i="7"/>
  <c r="H5" i="7"/>
  <c r="C5" i="7"/>
  <c r="P4" i="7"/>
  <c r="O4" i="7"/>
  <c r="N4" i="7"/>
  <c r="H4" i="7"/>
  <c r="C4" i="7"/>
  <c r="P3" i="7"/>
  <c r="O3" i="7"/>
  <c r="N3" i="7"/>
  <c r="H3" i="7"/>
  <c r="C3" i="7"/>
  <c r="P2" i="7"/>
  <c r="O2" i="7"/>
  <c r="N2" i="7"/>
  <c r="C2" i="7"/>
  <c r="F25" i="2"/>
  <c r="H25" i="2" s="1"/>
  <c r="F26" i="2"/>
  <c r="H26" i="2" s="1"/>
  <c r="F24" i="2"/>
  <c r="H24" i="2" s="1"/>
  <c r="F57" i="6"/>
  <c r="F58" i="6"/>
  <c r="F59" i="6"/>
  <c r="F56" i="6"/>
  <c r="AH17" i="1"/>
  <c r="AH16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R22" i="7" l="1"/>
  <c r="V22" i="7" s="1"/>
  <c r="Y22" i="7" s="1"/>
  <c r="R19" i="7"/>
  <c r="S19" i="7"/>
  <c r="S29" i="7"/>
  <c r="R24" i="7"/>
  <c r="V24" i="7" s="1"/>
  <c r="Y24" i="7" s="1"/>
  <c r="T29" i="7"/>
  <c r="X29" i="7" s="1"/>
  <c r="AA29" i="7" s="1"/>
  <c r="R29" i="7"/>
  <c r="V29" i="7" s="1"/>
  <c r="Y29" i="7" s="1"/>
  <c r="R9" i="7"/>
  <c r="V9" i="7" s="1"/>
  <c r="Y9" i="7" s="1"/>
  <c r="S4" i="7"/>
  <c r="W4" i="7" s="1"/>
  <c r="Z4" i="7" s="1"/>
  <c r="AC4" i="7" s="1"/>
  <c r="AF4" i="7" s="1"/>
  <c r="L22" i="7"/>
  <c r="T19" i="7"/>
  <c r="X19" i="7" s="1"/>
  <c r="AA19" i="7" s="1"/>
  <c r="T11" i="7"/>
  <c r="X11" i="7" s="1"/>
  <c r="AA11" i="7" s="1"/>
  <c r="T4" i="7"/>
  <c r="X4" i="7" s="1"/>
  <c r="AA4" i="7" s="1"/>
  <c r="R23" i="7"/>
  <c r="V23" i="7" s="1"/>
  <c r="Y23" i="7" s="1"/>
  <c r="R26" i="7"/>
  <c r="V26" i="7" s="1"/>
  <c r="Y26" i="7" s="1"/>
  <c r="S18" i="7"/>
  <c r="S7" i="7"/>
  <c r="W7" i="7" s="1"/>
  <c r="Z7" i="7" s="1"/>
  <c r="AC7" i="7" s="1"/>
  <c r="AF7" i="7" s="1"/>
  <c r="T18" i="7"/>
  <c r="X18" i="7" s="1"/>
  <c r="AA18" i="7" s="1"/>
  <c r="T23" i="7"/>
  <c r="X23" i="7" s="1"/>
  <c r="AA23" i="7" s="1"/>
  <c r="T20" i="7"/>
  <c r="X20" i="7" s="1"/>
  <c r="AA20" i="7" s="1"/>
  <c r="T25" i="7"/>
  <c r="X25" i="7" s="1"/>
  <c r="AA25" i="7" s="1"/>
  <c r="S23" i="7"/>
  <c r="W23" i="7" s="1"/>
  <c r="Z23" i="7" s="1"/>
  <c r="AC23" i="7" s="1"/>
  <c r="AF23" i="7" s="1"/>
  <c r="T21" i="7"/>
  <c r="X21" i="7" s="1"/>
  <c r="AA21" i="7" s="1"/>
  <c r="S20" i="7"/>
  <c r="W20" i="7" s="1"/>
  <c r="Z20" i="7" s="1"/>
  <c r="AC20" i="7" s="1"/>
  <c r="AF20" i="7" s="1"/>
  <c r="S30" i="7"/>
  <c r="W30" i="7" s="1"/>
  <c r="Z30" i="7" s="1"/>
  <c r="AC30" i="7" s="1"/>
  <c r="AF30" i="7" s="1"/>
  <c r="T28" i="7"/>
  <c r="X28" i="7" s="1"/>
  <c r="AA28" i="7" s="1"/>
  <c r="R12" i="7"/>
  <c r="V12" i="7" s="1"/>
  <c r="Y12" i="7" s="1"/>
  <c r="R21" i="7"/>
  <c r="V21" i="7" s="1"/>
  <c r="Y21" i="7" s="1"/>
  <c r="S21" i="7"/>
  <c r="W21" i="7" s="1"/>
  <c r="Z21" i="7" s="1"/>
  <c r="AC21" i="7" s="1"/>
  <c r="AF21" i="7" s="1"/>
  <c r="S22" i="7"/>
  <c r="W22" i="7" s="1"/>
  <c r="Z22" i="7" s="1"/>
  <c r="AC22" i="7" s="1"/>
  <c r="AF22" i="7" s="1"/>
  <c r="T30" i="7"/>
  <c r="X30" i="7" s="1"/>
  <c r="AA30" i="7" s="1"/>
  <c r="R30" i="7"/>
  <c r="S25" i="7"/>
  <c r="W25" i="7" s="1"/>
  <c r="Z25" i="7" s="1"/>
  <c r="AC25" i="7" s="1"/>
  <c r="AF25" i="7" s="1"/>
  <c r="T7" i="7"/>
  <c r="X7" i="7" s="1"/>
  <c r="AA7" i="7" s="1"/>
  <c r="R13" i="7"/>
  <c r="V13" i="7" s="1"/>
  <c r="L26" i="7"/>
  <c r="R16" i="7"/>
  <c r="V16" i="7" s="1"/>
  <c r="Y16" i="7" s="1"/>
  <c r="R18" i="7"/>
  <c r="V18" i="7" s="1"/>
  <c r="Y18" i="7" s="1"/>
  <c r="S16" i="7"/>
  <c r="W16" i="7" s="1"/>
  <c r="Z16" i="7" s="1"/>
  <c r="AC16" i="7" s="1"/>
  <c r="AF16" i="7" s="1"/>
  <c r="L24" i="7"/>
  <c r="T16" i="7"/>
  <c r="X16" i="7" s="1"/>
  <c r="AA16" i="7" s="1"/>
  <c r="R20" i="7"/>
  <c r="V20" i="7" s="1"/>
  <c r="Y20" i="7" s="1"/>
  <c r="T22" i="7"/>
  <c r="X22" i="7" s="1"/>
  <c r="AA22" i="7" s="1"/>
  <c r="R2" i="7"/>
  <c r="V2" i="7" s="1"/>
  <c r="Y2" i="7" s="1"/>
  <c r="R28" i="7"/>
  <c r="V28" i="7" s="1"/>
  <c r="Y28" i="7" s="1"/>
  <c r="T27" i="7"/>
  <c r="R25" i="7"/>
  <c r="V25" i="7" s="1"/>
  <c r="Y25" i="7" s="1"/>
  <c r="S27" i="7"/>
  <c r="R27" i="7"/>
  <c r="V27" i="7" s="1"/>
  <c r="Y27" i="7" s="1"/>
  <c r="T24" i="7"/>
  <c r="X24" i="7" s="1"/>
  <c r="AA24" i="7" s="1"/>
  <c r="T26" i="7"/>
  <c r="S24" i="7"/>
  <c r="W24" i="7" s="1"/>
  <c r="Z24" i="7" s="1"/>
  <c r="AC24" i="7" s="1"/>
  <c r="AF24" i="7" s="1"/>
  <c r="S28" i="7"/>
  <c r="W28" i="7" s="1"/>
  <c r="Z28" i="7" s="1"/>
  <c r="AC28" i="7" s="1"/>
  <c r="AF28" i="7" s="1"/>
  <c r="S26" i="7"/>
  <c r="W26" i="7" s="1"/>
  <c r="Z26" i="7" s="1"/>
  <c r="AC26" i="7" s="1"/>
  <c r="AF26" i="7" s="1"/>
  <c r="L18" i="7"/>
  <c r="S17" i="7"/>
  <c r="W17" i="7" s="1"/>
  <c r="Z17" i="7" s="1"/>
  <c r="AC17" i="7" s="1"/>
  <c r="AF17" i="7" s="1"/>
  <c r="T15" i="7"/>
  <c r="X15" i="7" s="1"/>
  <c r="AA15" i="7" s="1"/>
  <c r="T17" i="7"/>
  <c r="X17" i="7" s="1"/>
  <c r="AA17" i="7" s="1"/>
  <c r="R17" i="7"/>
  <c r="V17" i="7" s="1"/>
  <c r="Y17" i="7" s="1"/>
  <c r="T5" i="7"/>
  <c r="X5" i="7" s="1"/>
  <c r="AA5" i="7" s="1"/>
  <c r="S12" i="7"/>
  <c r="W12" i="7" s="1"/>
  <c r="Z12" i="7" s="1"/>
  <c r="AC12" i="7" s="1"/>
  <c r="AF12" i="7" s="1"/>
  <c r="R5" i="7"/>
  <c r="V5" i="7" s="1"/>
  <c r="Y5" i="7" s="1"/>
  <c r="AQ5" i="7"/>
  <c r="R7" i="7"/>
  <c r="V7" i="7" s="1"/>
  <c r="Y7" i="7" s="1"/>
  <c r="T12" i="7"/>
  <c r="X12" i="7" s="1"/>
  <c r="AA12" i="7" s="1"/>
  <c r="T8" i="7"/>
  <c r="X8" i="7" s="1"/>
  <c r="AA8" i="7" s="1"/>
  <c r="L12" i="7"/>
  <c r="S8" i="7"/>
  <c r="W8" i="7" s="1"/>
  <c r="Z8" i="7" s="1"/>
  <c r="AC8" i="7" s="1"/>
  <c r="AF8" i="7" s="1"/>
  <c r="AQ12" i="7"/>
  <c r="W19" i="7"/>
  <c r="Z19" i="7" s="1"/>
  <c r="AC19" i="7" s="1"/>
  <c r="AF19" i="7" s="1"/>
  <c r="T14" i="7"/>
  <c r="X14" i="7" s="1"/>
  <c r="AA14" i="7" s="1"/>
  <c r="R8" i="7"/>
  <c r="V8" i="7" s="1"/>
  <c r="Y8" i="7" s="1"/>
  <c r="S9" i="7"/>
  <c r="W9" i="7" s="1"/>
  <c r="Z9" i="7" s="1"/>
  <c r="AC9" i="7" s="1"/>
  <c r="AF9" i="7" s="1"/>
  <c r="R14" i="7"/>
  <c r="V14" i="7" s="1"/>
  <c r="Y14" i="7" s="1"/>
  <c r="S11" i="7"/>
  <c r="W11" i="7" s="1"/>
  <c r="Z11" i="7" s="1"/>
  <c r="AC11" i="7" s="1"/>
  <c r="AF11" i="7" s="1"/>
  <c r="S14" i="7"/>
  <c r="W14" i="7" s="1"/>
  <c r="Z14" i="7" s="1"/>
  <c r="AC14" i="7" s="1"/>
  <c r="AF14" i="7" s="1"/>
  <c r="R10" i="7"/>
  <c r="V10" i="7" s="1"/>
  <c r="Y10" i="7" s="1"/>
  <c r="R11" i="7"/>
  <c r="V11" i="7" s="1"/>
  <c r="Y11" i="7" s="1"/>
  <c r="S3" i="7"/>
  <c r="W3" i="7" s="1"/>
  <c r="Z3" i="7" s="1"/>
  <c r="AC3" i="7" s="1"/>
  <c r="AF3" i="7" s="1"/>
  <c r="S5" i="7"/>
  <c r="W5" i="7" s="1"/>
  <c r="Z5" i="7" s="1"/>
  <c r="AC5" i="7" s="1"/>
  <c r="AF5" i="7" s="1"/>
  <c r="R6" i="7"/>
  <c r="V6" i="7" s="1"/>
  <c r="Y6" i="7" s="1"/>
  <c r="T10" i="7"/>
  <c r="X10" i="7" s="1"/>
  <c r="AA10" i="7" s="1"/>
  <c r="S13" i="7"/>
  <c r="W13" i="7" s="1"/>
  <c r="R4" i="7"/>
  <c r="V4" i="7" s="1"/>
  <c r="Y4" i="7" s="1"/>
  <c r="T2" i="7"/>
  <c r="X2" i="7" s="1"/>
  <c r="AA2" i="7" s="1"/>
  <c r="L2" i="7"/>
  <c r="L5" i="7"/>
  <c r="S6" i="7"/>
  <c r="W6" i="7" s="1"/>
  <c r="Z6" i="7" s="1"/>
  <c r="AC6" i="7" s="1"/>
  <c r="AF6" i="7" s="1"/>
  <c r="T13" i="7"/>
  <c r="X13" i="7" s="1"/>
  <c r="R15" i="7"/>
  <c r="V15" i="7" s="1"/>
  <c r="Y15" i="7" s="1"/>
  <c r="R3" i="7"/>
  <c r="V3" i="7" s="1"/>
  <c r="Y3" i="7" s="1"/>
  <c r="T6" i="7"/>
  <c r="X6" i="7" s="1"/>
  <c r="AA6" i="7" s="1"/>
  <c r="S15" i="7"/>
  <c r="W15" i="7" s="1"/>
  <c r="Z15" i="7" s="1"/>
  <c r="AC15" i="7" s="1"/>
  <c r="AF15" i="7" s="1"/>
  <c r="W29" i="7"/>
  <c r="Z29" i="7" s="1"/>
  <c r="AC29" i="7" s="1"/>
  <c r="AF29" i="7" s="1"/>
  <c r="V19" i="7"/>
  <c r="Y19" i="7" s="1"/>
  <c r="AP8" i="7"/>
  <c r="AQ8" i="7" s="1"/>
  <c r="L16" i="7"/>
  <c r="L6" i="7"/>
  <c r="L3" i="7"/>
  <c r="L10" i="7"/>
  <c r="L14" i="7"/>
  <c r="AJ8" i="7"/>
  <c r="L9" i="7"/>
  <c r="L17" i="7"/>
  <c r="L7" i="7"/>
  <c r="S10" i="7"/>
  <c r="W10" i="7" s="1"/>
  <c r="Z10" i="7" s="1"/>
  <c r="AC10" i="7" s="1"/>
  <c r="AF10" i="7" s="1"/>
  <c r="T3" i="7"/>
  <c r="X3" i="7" s="1"/>
  <c r="AA3" i="7" s="1"/>
  <c r="L4" i="7"/>
  <c r="L11" i="7"/>
  <c r="AI12" i="7"/>
  <c r="S2" i="7"/>
  <c r="W2" i="7" s="1"/>
  <c r="Z2" i="7" s="1"/>
  <c r="AC2" i="7" s="1"/>
  <c r="AF2" i="7" s="1"/>
  <c r="T9" i="7"/>
  <c r="X9" i="7" s="1"/>
  <c r="AA9" i="7" s="1"/>
  <c r="O3" i="1"/>
  <c r="O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N16" i="1"/>
  <c r="N14" i="1"/>
  <c r="N13" i="1"/>
  <c r="N12" i="1"/>
  <c r="N3" i="1"/>
  <c r="M16" i="1"/>
  <c r="M14" i="1"/>
  <c r="M13" i="1"/>
  <c r="M12" i="1"/>
  <c r="M3" i="1"/>
  <c r="O14" i="1"/>
  <c r="O13" i="1"/>
  <c r="O12" i="1"/>
  <c r="W18" i="7" l="1"/>
  <c r="Z18" i="7" s="1"/>
  <c r="AC18" i="7" s="1"/>
  <c r="AF18" i="7" s="1"/>
  <c r="AL8" i="7"/>
  <c r="AN8" i="7"/>
  <c r="V30" i="7"/>
  <c r="Y30" i="7" s="1"/>
  <c r="X27" i="7"/>
  <c r="AA27" i="7" s="1"/>
  <c r="W27" i="7"/>
  <c r="Z27" i="7" s="1"/>
  <c r="AC27" i="7" s="1"/>
  <c r="AF27" i="7" s="1"/>
  <c r="X26" i="7"/>
  <c r="AA26" i="7" s="1"/>
  <c r="AM8" i="7"/>
  <c r="AA13" i="7"/>
  <c r="Y13" i="7"/>
  <c r="AN12" i="7"/>
  <c r="AM12" i="7"/>
  <c r="AL12" i="7"/>
  <c r="AJ12" i="7"/>
  <c r="L13" i="7"/>
  <c r="Z13" i="7"/>
  <c r="AC13" i="7" s="1"/>
  <c r="AF13" i="7" s="1"/>
  <c r="AN5" i="7"/>
  <c r="AM5" i="7"/>
  <c r="AJ5" i="7"/>
  <c r="AL5" i="7"/>
  <c r="H47" i="6"/>
  <c r="J15" i="1"/>
  <c r="AE15" i="1" s="1"/>
  <c r="J12" i="1"/>
  <c r="AE12" i="1" s="1"/>
  <c r="J8" i="1"/>
  <c r="AE8" i="1" s="1"/>
  <c r="J5" i="1"/>
  <c r="AE5" i="1" s="1"/>
  <c r="AG15" i="1" l="1"/>
  <c r="AN15" i="1"/>
  <c r="AG5" i="1"/>
  <c r="F31" i="5" s="1"/>
  <c r="H31" i="5" s="1"/>
  <c r="AN5" i="1"/>
  <c r="AG8" i="1"/>
  <c r="AN8" i="1"/>
  <c r="AG12" i="1"/>
  <c r="AN12" i="1"/>
  <c r="AO12" i="1" s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26" i="4" l="1"/>
  <c r="H26" i="4" s="1"/>
  <c r="AH15" i="1"/>
  <c r="AO8" i="1"/>
  <c r="AO5" i="1"/>
  <c r="AO15" i="1"/>
  <c r="F9" i="1"/>
  <c r="J9" i="1" s="1"/>
  <c r="F11" i="1"/>
  <c r="J11" i="1" s="1"/>
  <c r="Q3" i="1"/>
  <c r="U3" i="1" s="1"/>
  <c r="R3" i="1"/>
  <c r="V3" i="1" s="1"/>
  <c r="S3" i="1"/>
  <c r="W3" i="1" s="1"/>
  <c r="K8" i="1"/>
  <c r="F10" i="1"/>
  <c r="J10" i="1" s="1"/>
  <c r="K12" i="1"/>
  <c r="Q12" i="1"/>
  <c r="U12" i="1" s="1"/>
  <c r="X12" i="1" s="1"/>
  <c r="S12" i="1"/>
  <c r="W12" i="1" s="1"/>
  <c r="Z12" i="1" s="1"/>
  <c r="R12" i="1"/>
  <c r="V12" i="1" s="1"/>
  <c r="Y12" i="1" s="1"/>
  <c r="R13" i="1"/>
  <c r="V13" i="1" s="1"/>
  <c r="Y13" i="1" s="1"/>
  <c r="Q13" i="1"/>
  <c r="U13" i="1" s="1"/>
  <c r="X13" i="1" s="1"/>
  <c r="S13" i="1"/>
  <c r="W13" i="1" s="1"/>
  <c r="Z13" i="1" s="1"/>
  <c r="F14" i="1"/>
  <c r="J14" i="1" s="1"/>
  <c r="S14" i="1"/>
  <c r="W14" i="1" s="1"/>
  <c r="Q14" i="1"/>
  <c r="U14" i="1" s="1"/>
  <c r="R14" i="1"/>
  <c r="V14" i="1" s="1"/>
  <c r="K5" i="1"/>
  <c r="K15" i="1"/>
  <c r="F6" i="1"/>
  <c r="J6" i="1" s="1"/>
  <c r="F16" i="1"/>
  <c r="J16" i="1" s="1"/>
  <c r="R16" i="1"/>
  <c r="V16" i="1" s="1"/>
  <c r="S16" i="1"/>
  <c r="W16" i="1" s="1"/>
  <c r="Q16" i="1"/>
  <c r="U16" i="1" s="1"/>
  <c r="F7" i="1"/>
  <c r="J7" i="1" s="1"/>
  <c r="F17" i="1"/>
  <c r="J17" i="1" s="1"/>
  <c r="F3" i="1"/>
  <c r="J3" i="1" s="1"/>
  <c r="F4" i="1"/>
  <c r="J4" i="1" s="1"/>
  <c r="F13" i="1"/>
  <c r="J13" i="1" s="1"/>
  <c r="H14" i="6"/>
  <c r="H38" i="6"/>
  <c r="H24" i="6"/>
  <c r="H46" i="6"/>
  <c r="H37" i="6"/>
  <c r="H45" i="6"/>
  <c r="H29" i="6"/>
  <c r="H2" i="6"/>
  <c r="H44" i="6"/>
  <c r="H20" i="6"/>
  <c r="H28" i="6"/>
  <c r="H4" i="6"/>
  <c r="H15" i="5"/>
  <c r="H14" i="5"/>
  <c r="H13" i="5"/>
  <c r="H12" i="5"/>
  <c r="H11" i="5"/>
  <c r="H10" i="5"/>
  <c r="H20" i="5"/>
  <c r="H9" i="5"/>
  <c r="H16" i="4"/>
  <c r="H15" i="4"/>
  <c r="H14" i="4"/>
  <c r="H13" i="4"/>
  <c r="H12" i="4"/>
  <c r="H19" i="3"/>
  <c r="H18" i="3"/>
  <c r="H17" i="3"/>
  <c r="H16" i="3"/>
  <c r="H15" i="3"/>
  <c r="H14" i="3"/>
  <c r="H9" i="2"/>
  <c r="H8" i="2"/>
  <c r="H7" i="2"/>
  <c r="H6" i="2"/>
  <c r="H5" i="2"/>
  <c r="H4" i="2"/>
  <c r="H7" i="6"/>
  <c r="H31" i="6"/>
  <c r="H36" i="6"/>
  <c r="H12" i="6"/>
  <c r="H19" i="6"/>
  <c r="H35" i="6"/>
  <c r="H27" i="6"/>
  <c r="H17" i="5"/>
  <c r="H16" i="5"/>
  <c r="H5" i="4"/>
  <c r="H4" i="4"/>
  <c r="H18" i="4"/>
  <c r="H23" i="3"/>
  <c r="H22" i="3"/>
  <c r="H21" i="3"/>
  <c r="H20" i="3"/>
  <c r="H15" i="2"/>
  <c r="H39" i="6"/>
  <c r="H55" i="6"/>
  <c r="H50" i="6"/>
  <c r="H5" i="6"/>
  <c r="H41" i="6"/>
  <c r="H17" i="6"/>
  <c r="H16" i="6"/>
  <c r="H10" i="6"/>
  <c r="H11" i="4"/>
  <c r="H13" i="3"/>
  <c r="H21" i="2"/>
  <c r="H23" i="5"/>
  <c r="H22" i="5"/>
  <c r="H8" i="5"/>
  <c r="H27" i="3"/>
  <c r="H26" i="3"/>
  <c r="H23" i="6"/>
  <c r="H43" i="6"/>
  <c r="H8" i="6"/>
  <c r="H34" i="6"/>
  <c r="H42" i="6"/>
  <c r="H25" i="6"/>
  <c r="H22" i="6"/>
  <c r="H18" i="6"/>
  <c r="H7" i="5"/>
  <c r="H6" i="5"/>
  <c r="H28" i="5"/>
  <c r="H5" i="5"/>
  <c r="H4" i="5"/>
  <c r="H3" i="5"/>
  <c r="H10" i="4"/>
  <c r="H9" i="4"/>
  <c r="H8" i="4"/>
  <c r="H7" i="4"/>
  <c r="H6" i="4"/>
  <c r="H11" i="3"/>
  <c r="H10" i="3"/>
  <c r="H9" i="3"/>
  <c r="H8" i="3"/>
  <c r="H7" i="3"/>
  <c r="H6" i="3"/>
  <c r="H5" i="3"/>
  <c r="H4" i="3"/>
  <c r="H3" i="3"/>
  <c r="H13" i="6"/>
  <c r="H21" i="6"/>
  <c r="H11" i="6"/>
  <c r="H19" i="2"/>
  <c r="H20" i="2"/>
  <c r="H18" i="2"/>
  <c r="H21" i="5"/>
  <c r="H2" i="5"/>
  <c r="H19" i="5"/>
  <c r="H18" i="5"/>
  <c r="H54" i="6"/>
  <c r="H49" i="6"/>
  <c r="H51" i="6"/>
  <c r="H48" i="6"/>
  <c r="H3" i="6"/>
  <c r="G2" i="1"/>
  <c r="H40" i="6"/>
  <c r="H53" i="6"/>
  <c r="H52" i="6"/>
  <c r="H6" i="6"/>
  <c r="H33" i="6"/>
  <c r="H30" i="6"/>
  <c r="H15" i="6"/>
  <c r="H9" i="6"/>
  <c r="H32" i="6"/>
  <c r="H26" i="6"/>
  <c r="H3" i="4"/>
  <c r="H17" i="4"/>
  <c r="H2" i="4"/>
  <c r="H12" i="3"/>
  <c r="H2" i="3"/>
  <c r="H25" i="3"/>
  <c r="H24" i="3"/>
  <c r="H13" i="2"/>
  <c r="H2" i="2"/>
  <c r="H14" i="2"/>
  <c r="H3" i="2"/>
  <c r="H10" i="2"/>
  <c r="H11" i="2"/>
  <c r="H12" i="2"/>
  <c r="J2" i="1"/>
  <c r="Z14" i="1" l="1"/>
  <c r="X16" i="1"/>
  <c r="AE2" i="1"/>
  <c r="AN2" i="1" s="1"/>
  <c r="AO2" i="1" s="1"/>
  <c r="N2" i="1"/>
  <c r="R2" i="1" s="1"/>
  <c r="V2" i="1" s="1"/>
  <c r="Y2" i="1" s="1"/>
  <c r="O2" i="1"/>
  <c r="S2" i="1" s="1"/>
  <c r="W2" i="1" s="1"/>
  <c r="Z2" i="1" s="1"/>
  <c r="M2" i="1"/>
  <c r="Q2" i="1" s="1"/>
  <c r="U2" i="1" s="1"/>
  <c r="X2" i="1" s="1"/>
  <c r="O4" i="1"/>
  <c r="S4" i="1" s="1"/>
  <c r="W4" i="1" s="1"/>
  <c r="Z4" i="1" s="1"/>
  <c r="M4" i="1"/>
  <c r="Q4" i="1" s="1"/>
  <c r="U4" i="1" s="1"/>
  <c r="X4" i="1" s="1"/>
  <c r="N4" i="1"/>
  <c r="R4" i="1" s="1"/>
  <c r="V4" i="1" s="1"/>
  <c r="Y4" i="1" s="1"/>
  <c r="AB4" i="1" s="1"/>
  <c r="M5" i="1"/>
  <c r="Q5" i="1" s="1"/>
  <c r="U5" i="1" s="1"/>
  <c r="X5" i="1" s="1"/>
  <c r="N5" i="1"/>
  <c r="R5" i="1" s="1"/>
  <c r="V5" i="1" s="1"/>
  <c r="Y5" i="1" s="1"/>
  <c r="AB5" i="1" s="1"/>
  <c r="O5" i="1"/>
  <c r="S5" i="1" s="1"/>
  <c r="W5" i="1" s="1"/>
  <c r="Z5" i="1" s="1"/>
  <c r="M7" i="1"/>
  <c r="Q7" i="1" s="1"/>
  <c r="U7" i="1" s="1"/>
  <c r="X7" i="1" s="1"/>
  <c r="O7" i="1"/>
  <c r="S7" i="1" s="1"/>
  <c r="W7" i="1" s="1"/>
  <c r="Z7" i="1" s="1"/>
  <c r="N7" i="1"/>
  <c r="R7" i="1" s="1"/>
  <c r="V7" i="1" s="1"/>
  <c r="Y7" i="1" s="1"/>
  <c r="AB7" i="1" s="1"/>
  <c r="N6" i="1"/>
  <c r="R6" i="1" s="1"/>
  <c r="V6" i="1" s="1"/>
  <c r="Y6" i="1" s="1"/>
  <c r="O6" i="1"/>
  <c r="S6" i="1" s="1"/>
  <c r="W6" i="1" s="1"/>
  <c r="Z6" i="1" s="1"/>
  <c r="M6" i="1"/>
  <c r="Q6" i="1" s="1"/>
  <c r="U6" i="1" s="1"/>
  <c r="X6" i="1" s="1"/>
  <c r="Z16" i="1"/>
  <c r="K3" i="1"/>
  <c r="AE3" i="1"/>
  <c r="K10" i="1"/>
  <c r="AE10" i="1"/>
  <c r="K17" i="1"/>
  <c r="AE17" i="1"/>
  <c r="K14" i="1"/>
  <c r="AE14" i="1"/>
  <c r="K6" i="1"/>
  <c r="AE6" i="1"/>
  <c r="K7" i="1"/>
  <c r="AE7" i="1"/>
  <c r="K13" i="1"/>
  <c r="AE13" i="1"/>
  <c r="K11" i="1"/>
  <c r="AE11" i="1"/>
  <c r="K4" i="1"/>
  <c r="AE4" i="1"/>
  <c r="K16" i="1"/>
  <c r="AE16" i="1"/>
  <c r="K9" i="1"/>
  <c r="AE9" i="1"/>
  <c r="Z3" i="1"/>
  <c r="X3" i="1"/>
  <c r="AJ12" i="1"/>
  <c r="AB12" i="1"/>
  <c r="AB13" i="1"/>
  <c r="Y3" i="1"/>
  <c r="AB3" i="1" s="1"/>
  <c r="Y14" i="1"/>
  <c r="Y16" i="1"/>
  <c r="X14" i="1"/>
  <c r="N17" i="1"/>
  <c r="R17" i="1" s="1"/>
  <c r="V17" i="1" s="1"/>
  <c r="Y17" i="1" s="1"/>
  <c r="M15" i="1"/>
  <c r="Q15" i="1" s="1"/>
  <c r="U15" i="1" s="1"/>
  <c r="X15" i="1" s="1"/>
  <c r="N15" i="1"/>
  <c r="R15" i="1" s="1"/>
  <c r="V15" i="1" s="1"/>
  <c r="Y15" i="1" s="1"/>
  <c r="O15" i="1"/>
  <c r="S15" i="1" s="1"/>
  <c r="W15" i="1" s="1"/>
  <c r="Z15" i="1" s="1"/>
  <c r="N8" i="1"/>
  <c r="R8" i="1" s="1"/>
  <c r="V8" i="1" s="1"/>
  <c r="Y8" i="1" s="1"/>
  <c r="M8" i="1"/>
  <c r="Q8" i="1" s="1"/>
  <c r="U8" i="1" s="1"/>
  <c r="X8" i="1" s="1"/>
  <c r="O8" i="1"/>
  <c r="S8" i="1" s="1"/>
  <c r="W8" i="1" s="1"/>
  <c r="Z8" i="1" s="1"/>
  <c r="M11" i="1"/>
  <c r="Q11" i="1" s="1"/>
  <c r="U11" i="1" s="1"/>
  <c r="X11" i="1" s="1"/>
  <c r="N11" i="1"/>
  <c r="R11" i="1" s="1"/>
  <c r="V11" i="1" s="1"/>
  <c r="Y11" i="1" s="1"/>
  <c r="O11" i="1"/>
  <c r="S11" i="1" s="1"/>
  <c r="W11" i="1" s="1"/>
  <c r="Z11" i="1" s="1"/>
  <c r="M10" i="1"/>
  <c r="Q10" i="1" s="1"/>
  <c r="U10" i="1" s="1"/>
  <c r="X10" i="1" s="1"/>
  <c r="O10" i="1"/>
  <c r="S10" i="1" s="1"/>
  <c r="W10" i="1" s="1"/>
  <c r="Z10" i="1" s="1"/>
  <c r="N10" i="1"/>
  <c r="R10" i="1" s="1"/>
  <c r="V10" i="1" s="1"/>
  <c r="Y10" i="1" s="1"/>
  <c r="O17" i="1"/>
  <c r="S17" i="1" s="1"/>
  <c r="W17" i="1" s="1"/>
  <c r="Z17" i="1" s="1"/>
  <c r="M17" i="1"/>
  <c r="Q17" i="1" s="1"/>
  <c r="U17" i="1" s="1"/>
  <c r="X17" i="1" s="1"/>
  <c r="K2" i="1"/>
  <c r="AG16" i="1" l="1"/>
  <c r="F27" i="4" s="1"/>
  <c r="H27" i="4" s="1"/>
  <c r="AN16" i="1"/>
  <c r="AO16" i="1" s="1"/>
  <c r="AG4" i="1"/>
  <c r="F35" i="3" s="1"/>
  <c r="H35" i="3" s="1"/>
  <c r="AN4" i="1"/>
  <c r="AO4" i="1" s="1"/>
  <c r="AG11" i="1"/>
  <c r="AN11" i="1"/>
  <c r="AO11" i="1" s="1"/>
  <c r="AG17" i="1"/>
  <c r="F28" i="4" s="1"/>
  <c r="H28" i="4" s="1"/>
  <c r="AN17" i="1"/>
  <c r="AO17" i="1" s="1"/>
  <c r="AG13" i="1"/>
  <c r="AL13" i="1" s="1"/>
  <c r="AN13" i="1"/>
  <c r="AO13" i="1" s="1"/>
  <c r="AG10" i="1"/>
  <c r="AN10" i="1"/>
  <c r="AO10" i="1" s="1"/>
  <c r="AG14" i="1"/>
  <c r="AJ14" i="1" s="1"/>
  <c r="AN14" i="1"/>
  <c r="AO14" i="1" s="1"/>
  <c r="AG2" i="1"/>
  <c r="F33" i="3" s="1"/>
  <c r="H33" i="3" s="1"/>
  <c r="AJ5" i="1"/>
  <c r="AG9" i="1"/>
  <c r="AN9" i="1"/>
  <c r="AO9" i="1" s="1"/>
  <c r="AG3" i="1"/>
  <c r="F34" i="3" s="1"/>
  <c r="H34" i="3" s="1"/>
  <c r="AN3" i="1"/>
  <c r="AO3" i="1" s="1"/>
  <c r="AK5" i="1"/>
  <c r="AG6" i="1"/>
  <c r="F32" i="5" s="1"/>
  <c r="H32" i="5" s="1"/>
  <c r="AN6" i="1"/>
  <c r="AO6" i="1" s="1"/>
  <c r="AG7" i="1"/>
  <c r="AN7" i="1"/>
  <c r="AO7" i="1" s="1"/>
  <c r="AL5" i="1"/>
  <c r="AJ4" i="1"/>
  <c r="AK4" i="1"/>
  <c r="AL4" i="1"/>
  <c r="AK13" i="1"/>
  <c r="AL12" i="1"/>
  <c r="AK16" i="1"/>
  <c r="AB16" i="1"/>
  <c r="AK12" i="1"/>
  <c r="AB17" i="1"/>
  <c r="AK7" i="1"/>
  <c r="AJ2" i="1"/>
  <c r="AB2" i="1"/>
  <c r="AK15" i="1"/>
  <c r="AB15" i="1"/>
  <c r="AB14" i="1"/>
  <c r="AL6" i="1"/>
  <c r="AB6" i="1"/>
  <c r="H59" i="6"/>
  <c r="AB8" i="1"/>
  <c r="H58" i="6"/>
  <c r="AB11" i="1"/>
  <c r="H56" i="6"/>
  <c r="AB10" i="1"/>
  <c r="AL15" i="1"/>
  <c r="AK10" i="1"/>
  <c r="M9" i="1"/>
  <c r="Q9" i="1" s="1"/>
  <c r="U9" i="1" s="1"/>
  <c r="X9" i="1" s="1"/>
  <c r="O9" i="1"/>
  <c r="S9" i="1" s="1"/>
  <c r="W9" i="1" s="1"/>
  <c r="Z9" i="1" s="1"/>
  <c r="N9" i="1"/>
  <c r="R9" i="1" s="1"/>
  <c r="V9" i="1" s="1"/>
  <c r="Y9" i="1" s="1"/>
  <c r="AL17" i="1" l="1"/>
  <c r="AJ17" i="1"/>
  <c r="AK17" i="1"/>
  <c r="AL7" i="1"/>
  <c r="F33" i="5"/>
  <c r="H33" i="5" s="1"/>
  <c r="AJ7" i="1"/>
  <c r="AJ13" i="1"/>
  <c r="AJ15" i="1"/>
  <c r="AK14" i="1"/>
  <c r="AL14" i="1"/>
  <c r="AL16" i="1"/>
  <c r="AJ16" i="1"/>
  <c r="AL10" i="1"/>
  <c r="AJ6" i="1"/>
  <c r="AJ10" i="1"/>
  <c r="AK11" i="1"/>
  <c r="AK2" i="1"/>
  <c r="AL3" i="1"/>
  <c r="AJ3" i="1"/>
  <c r="AK3" i="1"/>
  <c r="AK8" i="1"/>
  <c r="AK6" i="1"/>
  <c r="AL8" i="1"/>
  <c r="AL2" i="1"/>
  <c r="AJ11" i="1"/>
  <c r="AJ8" i="1"/>
  <c r="AL11" i="1"/>
  <c r="AB9" i="1"/>
  <c r="AK9" i="1" l="1"/>
  <c r="H57" i="6"/>
  <c r="AJ9" i="1"/>
  <c r="AL9" i="1"/>
  <c r="AM2" i="7"/>
  <c r="AD2" i="7"/>
  <c r="AP2" i="7"/>
  <c r="AQ2" i="7" s="1"/>
  <c r="AJ2" i="7" l="1"/>
  <c r="AN2" i="7"/>
  <c r="AL2" i="7"/>
  <c r="AI18" i="7"/>
  <c r="AM18" i="7" s="1"/>
  <c r="AP18" i="7"/>
  <c r="AQ18" i="7" s="1"/>
  <c r="AN18" i="7" l="1"/>
  <c r="AJ18" i="7"/>
  <c r="AL18" i="7"/>
  <c r="AP22" i="7"/>
  <c r="AQ22" i="7" s="1"/>
  <c r="AL22" i="7"/>
  <c r="AM22" i="7" l="1"/>
  <c r="AN22" i="7"/>
  <c r="AJ22" i="7"/>
  <c r="AP25" i="7"/>
  <c r="AQ25" i="7" s="1"/>
  <c r="AI25" i="7"/>
  <c r="AM25" i="7" s="1"/>
  <c r="AP28" i="7"/>
  <c r="AQ28" i="7" s="1"/>
  <c r="AN28" i="7"/>
  <c r="AJ25" i="7" l="1"/>
  <c r="AL25" i="7"/>
  <c r="AN25" i="7"/>
  <c r="AL28" i="7"/>
  <c r="AM28" i="7"/>
  <c r="AJ28" i="7"/>
  <c r="AP15" i="7"/>
  <c r="AQ15" i="7" s="1"/>
  <c r="AN15" i="7"/>
  <c r="AJ15" i="7" l="1"/>
  <c r="AM15" i="7"/>
  <c r="AL15" i="7"/>
  <c r="AI13" i="7"/>
  <c r="AJ13" i="7" s="1"/>
  <c r="AL14" i="7"/>
  <c r="AL6" i="7"/>
  <c r="AI17" i="7"/>
  <c r="AJ17" i="7" s="1"/>
  <c r="AI10" i="7"/>
  <c r="AL10" i="7" s="1"/>
  <c r="AM9" i="7"/>
  <c r="AN3" i="7"/>
  <c r="AI16" i="7"/>
  <c r="AM16" i="7" s="1"/>
  <c r="AI23" i="7"/>
  <c r="AM23" i="7" s="1"/>
  <c r="AI11" i="7"/>
  <c r="AN11" i="7" s="1"/>
  <c r="AI4" i="7"/>
  <c r="AL4" i="7" s="1"/>
  <c r="AI20" i="7"/>
  <c r="AL20" i="7" s="1"/>
  <c r="AJ7" i="7"/>
  <c r="AI24" i="7"/>
  <c r="AL24" i="7" s="1"/>
  <c r="AM19" i="7"/>
  <c r="AN21" i="7"/>
  <c r="AM26" i="7"/>
  <c r="AI30" i="7"/>
  <c r="AN30" i="7" s="1"/>
  <c r="AD19" i="7"/>
  <c r="AP19" i="7"/>
  <c r="AQ19" i="7" s="1"/>
  <c r="AD20" i="7"/>
  <c r="AP20" i="7"/>
  <c r="AQ20" i="7" s="1"/>
  <c r="AI27" i="7"/>
  <c r="AL27" i="7" s="1"/>
  <c r="AI29" i="7"/>
  <c r="AM29" i="7" s="1"/>
  <c r="AD24" i="7"/>
  <c r="AP24" i="7"/>
  <c r="AQ24" i="7" s="1"/>
  <c r="AD23" i="7"/>
  <c r="AP23" i="7"/>
  <c r="AQ23" i="7" s="1"/>
  <c r="AD26" i="7"/>
  <c r="AP26" i="7"/>
  <c r="AQ26" i="7" s="1"/>
  <c r="AD27" i="7"/>
  <c r="AP27" i="7"/>
  <c r="AQ27" i="7" s="1"/>
  <c r="AD17" i="7"/>
  <c r="AP17" i="7"/>
  <c r="AQ17" i="7" s="1"/>
  <c r="AD13" i="7"/>
  <c r="AP13" i="7"/>
  <c r="AQ13" i="7" s="1"/>
  <c r="AD3" i="7"/>
  <c r="AP3" i="7"/>
  <c r="AQ3" i="7" s="1"/>
  <c r="AD14" i="7"/>
  <c r="AP14" i="7"/>
  <c r="AQ14" i="7" s="1"/>
  <c r="AD4" i="7"/>
  <c r="AP4" i="7"/>
  <c r="AQ4" i="7" s="1"/>
  <c r="AD29" i="7"/>
  <c r="AP29" i="7"/>
  <c r="AQ29" i="7" s="1"/>
  <c r="AD11" i="7"/>
  <c r="AP11" i="7"/>
  <c r="AQ11" i="7" s="1"/>
  <c r="AD21" i="7"/>
  <c r="AP21" i="7"/>
  <c r="AQ21" i="7" s="1"/>
  <c r="AD6" i="7"/>
  <c r="AP6" i="7"/>
  <c r="AQ6" i="7" s="1"/>
  <c r="AD16" i="7"/>
  <c r="AP16" i="7"/>
  <c r="AQ16" i="7" s="1"/>
  <c r="AD7" i="7"/>
  <c r="AP7" i="7"/>
  <c r="AQ7" i="7" s="1"/>
  <c r="AD9" i="7"/>
  <c r="AP9" i="7"/>
  <c r="AQ9" i="7" s="1"/>
  <c r="AD10" i="7"/>
  <c r="AP10" i="7"/>
  <c r="AQ10" i="7" s="1"/>
  <c r="AD30" i="7"/>
  <c r="AP30" i="7"/>
  <c r="AQ30" i="7" s="1"/>
  <c r="AM14" i="7" l="1"/>
  <c r="AM21" i="7"/>
  <c r="AN29" i="7"/>
  <c r="AL21" i="7"/>
  <c r="AJ30" i="7"/>
  <c r="AJ27" i="7"/>
  <c r="AL11" i="7"/>
  <c r="AJ24" i="7"/>
  <c r="AN17" i="7"/>
  <c r="AN13" i="7"/>
  <c r="AM4" i="7"/>
  <c r="AJ20" i="7"/>
  <c r="AJ9" i="7"/>
  <c r="AJ11" i="7"/>
  <c r="AL9" i="7"/>
  <c r="AJ26" i="7"/>
  <c r="AL16" i="7"/>
  <c r="AJ23" i="7"/>
  <c r="AN10" i="7"/>
  <c r="AJ19" i="7"/>
  <c r="AM3" i="7"/>
  <c r="AN14" i="7"/>
  <c r="AM30" i="7"/>
  <c r="AN16" i="7"/>
  <c r="AN24" i="7"/>
  <c r="AM17" i="7"/>
  <c r="AM20" i="7"/>
  <c r="AJ14" i="7"/>
  <c r="AJ16" i="7"/>
  <c r="AL17" i="7"/>
  <c r="AN20" i="7"/>
  <c r="AL30" i="7"/>
  <c r="AM27" i="7"/>
  <c r="AM24" i="7"/>
  <c r="AJ21" i="7"/>
  <c r="AN7" i="7"/>
  <c r="AM11" i="7"/>
  <c r="AN9" i="7"/>
  <c r="AM6" i="7"/>
  <c r="AN19" i="7"/>
  <c r="AN23" i="7"/>
  <c r="AN6" i="7"/>
  <c r="AL19" i="7"/>
  <c r="AL23" i="7"/>
  <c r="AJ6" i="7"/>
  <c r="AL26" i="7"/>
  <c r="AJ4" i="7"/>
  <c r="AJ10" i="7"/>
  <c r="AN26" i="7"/>
  <c r="AN4" i="7"/>
  <c r="AM10" i="7"/>
  <c r="AM13" i="7"/>
  <c r="AL29" i="7"/>
  <c r="AL7" i="7"/>
  <c r="AJ3" i="7"/>
  <c r="AL13" i="7"/>
  <c r="AN27" i="7"/>
  <c r="AJ29" i="7"/>
  <c r="AM7" i="7"/>
  <c r="AL3" i="7"/>
</calcChain>
</file>

<file path=xl/sharedStrings.xml><?xml version="1.0" encoding="utf-8"?>
<sst xmlns="http://schemas.openxmlformats.org/spreadsheetml/2006/main" count="925" uniqueCount="193">
  <si>
    <t>Name</t>
  </si>
  <si>
    <t>Item</t>
  </si>
  <si>
    <t>Item Name</t>
  </si>
  <si>
    <t>Quantity</t>
  </si>
  <si>
    <t>BOM-P-0403-001</t>
  </si>
  <si>
    <t>(R&amp;D) Salsa de ostión 3.8 L (PROJ-0291)</t>
  </si>
  <si>
    <t>BOM-P-0404-001</t>
  </si>
  <si>
    <t>(R&amp;D) Salsa Teriyaki 3.8 L (PROJ-0291)</t>
  </si>
  <si>
    <t>BOM-P-0408-001</t>
  </si>
  <si>
    <t>(R&amp;D) Aderezo mayo chipotle 3.8 L (PROJ-0291)</t>
  </si>
  <si>
    <t>BOM-P-0410-001</t>
  </si>
  <si>
    <t>(R&amp;D) Salsa Sriracha 3.8 L (PROJ-0291)</t>
  </si>
  <si>
    <t>BOM-P-0402-001</t>
  </si>
  <si>
    <t>(R&amp;D) Salsa de soya 3.8 L (PROJ-0291)</t>
  </si>
  <si>
    <t>Cost per unit</t>
  </si>
  <si>
    <t>Marca</t>
  </si>
  <si>
    <t>presentacion</t>
  </si>
  <si>
    <t>precio</t>
  </si>
  <si>
    <t>costo/kg</t>
  </si>
  <si>
    <t>canal</t>
  </si>
  <si>
    <t>Lee kum kee</t>
  </si>
  <si>
    <t>ML</t>
  </si>
  <si>
    <t>Thaui prestige</t>
  </si>
  <si>
    <t>Sams</t>
  </si>
  <si>
    <t>Amazon</t>
  </si>
  <si>
    <t>Uteki</t>
  </si>
  <si>
    <t>Walmart</t>
  </si>
  <si>
    <t>HEB</t>
  </si>
  <si>
    <t>Haday</t>
  </si>
  <si>
    <t>Kikoman</t>
  </si>
  <si>
    <t>Ventas</t>
  </si>
  <si>
    <t>vendedor</t>
  </si>
  <si>
    <t>Toyo foods</t>
  </si>
  <si>
    <t>Ranita de la paz</t>
  </si>
  <si>
    <t>Yang foods</t>
  </si>
  <si>
    <t>Tienda Obachan</t>
  </si>
  <si>
    <t>Kikkoman</t>
  </si>
  <si>
    <t>Mccormick</t>
  </si>
  <si>
    <t>Valant</t>
  </si>
  <si>
    <t>Agnez</t>
  </si>
  <si>
    <t>Pekin</t>
  </si>
  <si>
    <t>Pasa</t>
  </si>
  <si>
    <t>Maggi</t>
  </si>
  <si>
    <t>Great Value</t>
  </si>
  <si>
    <t>lee kum kee</t>
  </si>
  <si>
    <t>Aurrera</t>
  </si>
  <si>
    <t>Dragon rojo</t>
  </si>
  <si>
    <t>La inigualable</t>
  </si>
  <si>
    <t>Toyo</t>
  </si>
  <si>
    <t>Zaaschila</t>
  </si>
  <si>
    <t>De yucatan para el mundo</t>
  </si>
  <si>
    <t>Scorpion</t>
  </si>
  <si>
    <t>Costco</t>
  </si>
  <si>
    <t>Smart &amp; Final</t>
  </si>
  <si>
    <t>First Street</t>
  </si>
  <si>
    <t>Sachin</t>
  </si>
  <si>
    <t>Flying goose</t>
  </si>
  <si>
    <t>Huy Fong</t>
  </si>
  <si>
    <t>First street</t>
  </si>
  <si>
    <t>Smart n final</t>
  </si>
  <si>
    <t>Tapatío Foods</t>
  </si>
  <si>
    <t>NA</t>
  </si>
  <si>
    <t>Zorro Abarrotero</t>
  </si>
  <si>
    <t>Chedraui</t>
  </si>
  <si>
    <t>Thai prestige</t>
  </si>
  <si>
    <t>Yumart</t>
  </si>
  <si>
    <t>Keemaki</t>
  </si>
  <si>
    <t>Blue dragon</t>
  </si>
  <si>
    <t>Umami tokyo</t>
  </si>
  <si>
    <t>Paanda Express</t>
  </si>
  <si>
    <t>Unkai</t>
  </si>
  <si>
    <t>Kinders</t>
  </si>
  <si>
    <t>Subway</t>
  </si>
  <si>
    <t>Heinz</t>
  </si>
  <si>
    <t>Hellmanns</t>
  </si>
  <si>
    <t>Tabaasco</t>
  </si>
  <si>
    <t>Yellowbird</t>
  </si>
  <si>
    <t>Mr Wings</t>
  </si>
  <si>
    <t>Royal</t>
  </si>
  <si>
    <t>APYS</t>
  </si>
  <si>
    <t>Ventura</t>
  </si>
  <si>
    <t>Apys</t>
  </si>
  <si>
    <t>Kum Chun</t>
  </si>
  <si>
    <t>Mitsuki</t>
  </si>
  <si>
    <t>Members mark</t>
  </si>
  <si>
    <t>Love &amp; kitchen</t>
  </si>
  <si>
    <t>Kaporo</t>
  </si>
  <si>
    <t>Great value</t>
  </si>
  <si>
    <t>Tabasco</t>
  </si>
  <si>
    <t>Maatsuri</t>
  </si>
  <si>
    <t>Thai pride</t>
  </si>
  <si>
    <t>Polar</t>
  </si>
  <si>
    <t>House of tsang</t>
  </si>
  <si>
    <t>HCF</t>
  </si>
  <si>
    <t>Tuong</t>
  </si>
  <si>
    <t>Mingjoy</t>
  </si>
  <si>
    <t>Matsuri</t>
  </si>
  <si>
    <t>Yamaasa</t>
  </si>
  <si>
    <t>Takumi-Ichi</t>
  </si>
  <si>
    <t>Salsa Teriyaki 414 ml</t>
  </si>
  <si>
    <t>Salsa de soya 414 ml</t>
  </si>
  <si>
    <t>Salsa de soya 946 ml</t>
  </si>
  <si>
    <t>Salsa de soya 20 L</t>
  </si>
  <si>
    <t>Aderezo Mayo Chipotle 946 ml</t>
  </si>
  <si>
    <t>Aderezo Mayo Chipotle 414 ml</t>
  </si>
  <si>
    <t>Salsa Sriracha 946 ml</t>
  </si>
  <si>
    <t>Salsa Sriracha 414 ml</t>
  </si>
  <si>
    <t>Salsa de Ostión 414 ml</t>
  </si>
  <si>
    <t>Salsa de Ostión 946 ml</t>
  </si>
  <si>
    <t>Densidad</t>
  </si>
  <si>
    <t>Salsa</t>
  </si>
  <si>
    <t>Volumen (L)</t>
  </si>
  <si>
    <t>Net content (kg)</t>
  </si>
  <si>
    <t>Total Cost (mxn)</t>
  </si>
  <si>
    <t>cost/kg</t>
  </si>
  <si>
    <t>Serie</t>
  </si>
  <si>
    <t>Competencia</t>
  </si>
  <si>
    <t>Series</t>
  </si>
  <si>
    <t>Referencia</t>
  </si>
  <si>
    <t>MAX $/kg de competencia</t>
  </si>
  <si>
    <t>MIN $/kg de competencia</t>
  </si>
  <si>
    <t>AVG $/kg de competencia</t>
  </si>
  <si>
    <t>Salsa Teriyaki 946 ml</t>
  </si>
  <si>
    <t>Precio público (AVG)</t>
  </si>
  <si>
    <t>Precio público (MAX)</t>
  </si>
  <si>
    <t>Precio público (MIN)</t>
  </si>
  <si>
    <t>Precio de venta AVG (Dist 24%)</t>
  </si>
  <si>
    <t>Precio de venta MAX (Dist 24%)</t>
  </si>
  <si>
    <t>Precio de venta MIN (Dist 24%)</t>
  </si>
  <si>
    <t>Margen estimado AVG</t>
  </si>
  <si>
    <t>Margen estimado MAX</t>
  </si>
  <si>
    <t>Margen estimado MIN</t>
  </si>
  <si>
    <t>Precio de venta sugerido</t>
  </si>
  <si>
    <t>Precio público</t>
  </si>
  <si>
    <t>Variación vs MIN</t>
  </si>
  <si>
    <t>Variación vs MAX</t>
  </si>
  <si>
    <t>Variación vs AVG</t>
  </si>
  <si>
    <t>Soya-20</t>
  </si>
  <si>
    <t>Teriyaki</t>
  </si>
  <si>
    <t>Sriracha</t>
  </si>
  <si>
    <t>Ostión</t>
  </si>
  <si>
    <t>Soya</t>
  </si>
  <si>
    <t>Mayo Chipotle</t>
  </si>
  <si>
    <t>Soya-0.946</t>
  </si>
  <si>
    <t>Soya-0.414</t>
  </si>
  <si>
    <t>Soya-3.78</t>
  </si>
  <si>
    <t>Mayo Chipotle-3.78</t>
  </si>
  <si>
    <t>Mayo Chipotle-0.946</t>
  </si>
  <si>
    <t>Mayo Chipotle-0.414</t>
  </si>
  <si>
    <t>Margen distribuidor</t>
  </si>
  <si>
    <t>Margen sugerido (%)</t>
  </si>
  <si>
    <t>Margen propuesto (%)</t>
  </si>
  <si>
    <t>Margen (pz)</t>
  </si>
  <si>
    <t>Margen (kg)</t>
  </si>
  <si>
    <t>Sriracha-3.78</t>
  </si>
  <si>
    <t>Sriracha-0.946</t>
  </si>
  <si>
    <t>Sriracha-0.414</t>
  </si>
  <si>
    <t>Teriyaki-3.78</t>
  </si>
  <si>
    <t>Teriyaki-0.946</t>
  </si>
  <si>
    <t>Teriyaki-0.414</t>
  </si>
  <si>
    <t>Takumi Ichi</t>
  </si>
  <si>
    <t>Takumi ichi</t>
  </si>
  <si>
    <t>PP/kg</t>
  </si>
  <si>
    <t>Ostión-3.78</t>
  </si>
  <si>
    <t>Ostión-0.414</t>
  </si>
  <si>
    <t>Ostión-0.946</t>
  </si>
  <si>
    <t>Anguila</t>
  </si>
  <si>
    <t>Ponzu</t>
  </si>
  <si>
    <t>Samyang</t>
  </si>
  <si>
    <t>Agridulce</t>
  </si>
  <si>
    <t>Precio de venta (dist 24%)</t>
  </si>
  <si>
    <t>Precio de venta sugerido (dist 24%)</t>
  </si>
  <si>
    <t>Anguila-3.78</t>
  </si>
  <si>
    <t>Anguila-0.946</t>
  </si>
  <si>
    <t>Anguila-0.414</t>
  </si>
  <si>
    <t>Ponzu-20</t>
  </si>
  <si>
    <t>Ponzu-3.78</t>
  </si>
  <si>
    <t>Ponzu-0.946</t>
  </si>
  <si>
    <t>Ponzu-0.414</t>
  </si>
  <si>
    <t>Samyang-3.78</t>
  </si>
  <si>
    <t>Samyang-0.946</t>
  </si>
  <si>
    <t>Samyang-0.414</t>
  </si>
  <si>
    <t>Agridulce-3.78</t>
  </si>
  <si>
    <t>Agridulce-0.946</t>
  </si>
  <si>
    <t>Agridulce-0.414</t>
  </si>
  <si>
    <t>Sabor</t>
  </si>
  <si>
    <t>Customer Group</t>
  </si>
  <si>
    <t>% probabilidad catalogacion</t>
  </si>
  <si>
    <t>venta anual</t>
  </si>
  <si>
    <t>Customer</t>
  </si>
  <si>
    <t>Agnez Alimentos</t>
  </si>
  <si>
    <t>Mercado Libre (Distribuidor)</t>
  </si>
  <si>
    <t>Desarrollar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</si>
</sst>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0.000"/>
    <numFmt numFmtId="166" formatCode="_(* #,##0_);_(* \(#,##0\);_(* &quot;-&quot;??_);_(@_)"/>
    <numFmt numFmtId="167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43" fontId="0" fillId="0" borderId="0" xfId="1" applyFont="1"/>
    <xf numFmtId="0" fontId="1" fillId="0" borderId="0" xfId="0" applyFont="1" applyAlignment="1">
      <alignment wrapText="1"/>
    </xf>
    <xf numFmtId="44" fontId="0" fillId="0" borderId="0" xfId="2" applyFont="1"/>
    <xf numFmtId="164" fontId="0" fillId="0" borderId="0" xfId="2" applyNumberFormat="1" applyFont="1"/>
    <xf numFmtId="0" fontId="3" fillId="0" borderId="0" xfId="0" applyFont="1"/>
    <xf numFmtId="165" fontId="0" fillId="0" borderId="0" xfId="0" applyNumberFormat="1"/>
    <xf numFmtId="167" fontId="0" fillId="0" borderId="0" xfId="2" applyNumberFormat="1" applyFont="1"/>
    <xf numFmtId="166" fontId="0" fillId="0" borderId="0" xfId="1" applyNumberFormat="1" applyFont="1"/>
    <xf numFmtId="44" fontId="1" fillId="0" borderId="0" xfId="2" applyFont="1" applyAlignment="1">
      <alignment wrapText="1"/>
    </xf>
    <xf numFmtId="44" fontId="0" fillId="0" borderId="0" xfId="0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166" fontId="0" fillId="0" borderId="0" xfId="1" applyNumberFormat="1" applyFont="1" applyAlignment="1">
      <alignment wrapText="1"/>
    </xf>
    <xf numFmtId="167" fontId="0" fillId="0" borderId="0" xfId="2" applyNumberFormat="1" applyFont="1" applyAlignment="1">
      <alignment wrapText="1"/>
    </xf>
    <xf numFmtId="164" fontId="1" fillId="0" borderId="0" xfId="2" applyNumberFormat="1" applyFont="1" applyAlignment="1">
      <alignment wrapText="1"/>
    </xf>
    <xf numFmtId="9" fontId="0" fillId="0" borderId="0" xfId="3" applyFont="1"/>
    <xf numFmtId="9" fontId="0" fillId="0" borderId="0" xfId="2" applyNumberFormat="1" applyFont="1"/>
    <xf numFmtId="44" fontId="3" fillId="0" borderId="0" xfId="0" applyNumberFormat="1" applyFont="1"/>
    <xf numFmtId="9" fontId="0" fillId="0" borderId="0" xfId="0" applyNumberFormat="1"/>
    <xf numFmtId="0" fontId="4" fillId="0" borderId="0" xfId="0" applyFont="1"/>
    <xf numFmtId="43" fontId="4" fillId="0" borderId="0" xfId="1" applyFont="1"/>
    <xf numFmtId="166" fontId="4" fillId="0" borderId="0" xfId="1" applyNumberFormat="1" applyFont="1"/>
    <xf numFmtId="165" fontId="4" fillId="0" borderId="0" xfId="0" applyNumberFormat="1" applyFont="1"/>
    <xf numFmtId="167" fontId="4" fillId="0" borderId="0" xfId="2" applyNumberFormat="1" applyFont="1"/>
    <xf numFmtId="164" fontId="4" fillId="0" borderId="0" xfId="2" applyNumberFormat="1" applyFont="1"/>
    <xf numFmtId="44" fontId="4" fillId="0" borderId="0" xfId="2" applyFont="1"/>
    <xf numFmtId="44" fontId="4" fillId="0" borderId="0" xfId="0" applyNumberFormat="1" applyFont="1"/>
    <xf numFmtId="9" fontId="4" fillId="0" borderId="0" xfId="3" applyFont="1"/>
    <xf numFmtId="9" fontId="4" fillId="0" borderId="0" xfId="2" applyNumberFormat="1" applyFont="1"/>
    <xf numFmtId="0" fontId="0" fillId="0" borderId="0" xfId="0" applyFont="1"/>
    <xf numFmtId="43" fontId="2" fillId="0" borderId="0" xfId="1" applyFont="1"/>
    <xf numFmtId="166" fontId="2" fillId="0" borderId="0" xfId="1" applyNumberFormat="1" applyFont="1"/>
    <xf numFmtId="165" fontId="0" fillId="0" borderId="0" xfId="0" applyNumberFormat="1" applyFont="1"/>
    <xf numFmtId="167" fontId="2" fillId="0" borderId="0" xfId="2" applyNumberFormat="1" applyFont="1"/>
    <xf numFmtId="164" fontId="2" fillId="0" borderId="0" xfId="2" applyNumberFormat="1" applyFont="1"/>
    <xf numFmtId="44" fontId="2" fillId="0" borderId="0" xfId="2" applyFont="1"/>
    <xf numFmtId="44" fontId="0" fillId="0" borderId="0" xfId="0" applyNumberFormat="1" applyFont="1"/>
    <xf numFmtId="9" fontId="2" fillId="0" borderId="0" xfId="3" applyFont="1"/>
    <xf numFmtId="9" fontId="2" fillId="0" borderId="0" xfId="2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vs presentación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'P-0403 - Ostion'!$B$2:$B$23</c:f>
              <c:strCache>
                <c:ptCount val="22"/>
                <c:pt idx="0">
                  <c:v>Lee kum kee</c:v>
                </c:pt>
                <c:pt idx="1">
                  <c:v>Lee kum kee</c:v>
                </c:pt>
                <c:pt idx="2">
                  <c:v>Lee kum kee</c:v>
                </c:pt>
                <c:pt idx="3">
                  <c:v>Maatsuri</c:v>
                </c:pt>
                <c:pt idx="4">
                  <c:v>Lee kum kee</c:v>
                </c:pt>
                <c:pt idx="5">
                  <c:v>Thai pride</c:v>
                </c:pt>
                <c:pt idx="6">
                  <c:v>Polar</c:v>
                </c:pt>
                <c:pt idx="7">
                  <c:v>Thai prestige</c:v>
                </c:pt>
                <c:pt idx="8">
                  <c:v>Haday</c:v>
                </c:pt>
                <c:pt idx="9">
                  <c:v>Kikoman</c:v>
                </c:pt>
                <c:pt idx="10">
                  <c:v>Lee kum kee</c:v>
                </c:pt>
                <c:pt idx="11">
                  <c:v>Thaui prestige</c:v>
                </c:pt>
                <c:pt idx="12">
                  <c:v>Uteki</c:v>
                </c:pt>
                <c:pt idx="13">
                  <c:v>Unkai</c:v>
                </c:pt>
                <c:pt idx="15">
                  <c:v>NA</c:v>
                </c:pt>
                <c:pt idx="16">
                  <c:v>Thaui prestige</c:v>
                </c:pt>
                <c:pt idx="17">
                  <c:v>Yumart</c:v>
                </c:pt>
                <c:pt idx="18">
                  <c:v>Kum Chun</c:v>
                </c:pt>
                <c:pt idx="19">
                  <c:v>Mitsuki</c:v>
                </c:pt>
                <c:pt idx="20">
                  <c:v>NA</c:v>
                </c:pt>
                <c:pt idx="21">
                  <c:v>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'P-0403 - Ostion'!$E$2:$E$23</c:f>
              <c:numCache>
                <c:formatCode>General</c:formatCode>
                <c:ptCount val="22"/>
                <c:pt idx="0">
                  <c:v>2.2000000000000002</c:v>
                </c:pt>
                <c:pt idx="1">
                  <c:v>2.27</c:v>
                </c:pt>
                <c:pt idx="2">
                  <c:v>0.48</c:v>
                </c:pt>
                <c:pt idx="3">
                  <c:v>0.42</c:v>
                </c:pt>
                <c:pt idx="4">
                  <c:v>0.51</c:v>
                </c:pt>
                <c:pt idx="5">
                  <c:v>0.29499999999999998</c:v>
                </c:pt>
                <c:pt idx="6">
                  <c:v>0.15</c:v>
                </c:pt>
                <c:pt idx="7">
                  <c:v>0.32</c:v>
                </c:pt>
                <c:pt idx="8">
                  <c:v>2.27</c:v>
                </c:pt>
                <c:pt idx="9">
                  <c:v>2.27</c:v>
                </c:pt>
                <c:pt idx="10">
                  <c:v>2.2000000000000002</c:v>
                </c:pt>
                <c:pt idx="11">
                  <c:v>0.77</c:v>
                </c:pt>
                <c:pt idx="12">
                  <c:v>0.27</c:v>
                </c:pt>
                <c:pt idx="13">
                  <c:v>0.25</c:v>
                </c:pt>
                <c:pt idx="16">
                  <c:v>0.32</c:v>
                </c:pt>
                <c:pt idx="17">
                  <c:v>0.26</c:v>
                </c:pt>
                <c:pt idx="18">
                  <c:v>0.48</c:v>
                </c:pt>
                <c:pt idx="19">
                  <c:v>0.26</c:v>
                </c:pt>
              </c:numCache>
            </c:numRef>
          </c:xVal>
          <c:yVal>
            <c:numRef>
              <c:f>'P-0403 - Ostion'!$F$2:$F$23</c:f>
              <c:numCache>
                <c:formatCode>_("$"* #,##0.0_);_("$"* \(#,##0.0\);_("$"* "-"??_);_(@_)</c:formatCode>
                <c:ptCount val="22"/>
                <c:pt idx="0">
                  <c:v>209</c:v>
                </c:pt>
                <c:pt idx="1">
                  <c:v>244</c:v>
                </c:pt>
                <c:pt idx="2">
                  <c:v>66.900000000000006</c:v>
                </c:pt>
                <c:pt idx="3">
                  <c:v>63.9</c:v>
                </c:pt>
                <c:pt idx="4">
                  <c:v>135</c:v>
                </c:pt>
                <c:pt idx="5">
                  <c:v>47</c:v>
                </c:pt>
                <c:pt idx="6">
                  <c:v>68</c:v>
                </c:pt>
                <c:pt idx="7">
                  <c:v>54</c:v>
                </c:pt>
                <c:pt idx="8">
                  <c:v>239</c:v>
                </c:pt>
                <c:pt idx="9">
                  <c:v>380</c:v>
                </c:pt>
                <c:pt idx="10">
                  <c:v>144</c:v>
                </c:pt>
                <c:pt idx="11">
                  <c:v>73.650000000000006</c:v>
                </c:pt>
                <c:pt idx="12">
                  <c:v>40</c:v>
                </c:pt>
                <c:pt idx="13">
                  <c:v>127</c:v>
                </c:pt>
                <c:pt idx="16">
                  <c:v>56</c:v>
                </c:pt>
                <c:pt idx="17">
                  <c:v>60</c:v>
                </c:pt>
                <c:pt idx="18">
                  <c:v>53.9</c:v>
                </c:pt>
                <c:pt idx="19">
                  <c:v>84.9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3C-E14E-8546-9A0D9E14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492799"/>
        <c:axId val="1314493247"/>
      </c:scatterChart>
      <c:valAx>
        <c:axId val="13144927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314493247"/>
        <c:crosses val="autoZero"/>
        <c:crossBetween val="midCat"/>
      </c:valAx>
      <c:valAx>
        <c:axId val="13144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31449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Presentación</a:t>
            </a:r>
            <a:r>
              <a:rPr lang="en-US" baseline="0"/>
              <a:t> vs precio/kg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'P-0403 - Ostion'!$B$2:$B$23</c:f>
              <c:strCache>
                <c:ptCount val="22"/>
                <c:pt idx="0">
                  <c:v>Lee kum kee</c:v>
                </c:pt>
                <c:pt idx="1">
                  <c:v>Lee kum kee</c:v>
                </c:pt>
                <c:pt idx="2">
                  <c:v>Lee kum kee</c:v>
                </c:pt>
                <c:pt idx="3">
                  <c:v>Maatsuri</c:v>
                </c:pt>
                <c:pt idx="4">
                  <c:v>Lee kum kee</c:v>
                </c:pt>
                <c:pt idx="5">
                  <c:v>Thai pride</c:v>
                </c:pt>
                <c:pt idx="6">
                  <c:v>Polar</c:v>
                </c:pt>
                <c:pt idx="7">
                  <c:v>Thai prestige</c:v>
                </c:pt>
                <c:pt idx="8">
                  <c:v>Haday</c:v>
                </c:pt>
                <c:pt idx="9">
                  <c:v>Kikoman</c:v>
                </c:pt>
                <c:pt idx="10">
                  <c:v>Lee kum kee</c:v>
                </c:pt>
                <c:pt idx="11">
                  <c:v>Thaui prestige</c:v>
                </c:pt>
                <c:pt idx="12">
                  <c:v>Uteki</c:v>
                </c:pt>
                <c:pt idx="13">
                  <c:v>Unkai</c:v>
                </c:pt>
                <c:pt idx="15">
                  <c:v>NA</c:v>
                </c:pt>
                <c:pt idx="16">
                  <c:v>Thaui prestige</c:v>
                </c:pt>
                <c:pt idx="17">
                  <c:v>Yumart</c:v>
                </c:pt>
                <c:pt idx="18">
                  <c:v>Kum Chun</c:v>
                </c:pt>
                <c:pt idx="19">
                  <c:v>Mitsuki</c:v>
                </c:pt>
                <c:pt idx="20">
                  <c:v>NA</c:v>
                </c:pt>
                <c:pt idx="21">
                  <c:v>NA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8826D9B-CE2A-4F4F-9B5B-2D356AA2DC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0B9-B84E-A7F0-33D72BF90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8D1F14-E1A2-E646-942B-1E0855DE6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0B9-B84E-A7F0-33D72BF90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53D291-6FB6-F642-9E5E-0FA711E33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0B9-B84E-A7F0-33D72BF90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2EE6885-973E-4143-ACDC-030E733B5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B9-B84E-A7F0-33D72BF901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C09E23-5D84-A940-B34C-99C529EB8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B9-B84E-A7F0-33D72BF901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8D0C70-CFC7-8648-829D-F99CD466D2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B9-B84E-A7F0-33D72BF901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ECBB3EC-C1C9-DC4E-9236-786783916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B9-B84E-A7F0-33D72BF901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BCFC487-FBC4-5248-8840-068968E1C3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B9-B84E-A7F0-33D72BF901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2F621A0-F445-3E4B-805A-29B6B4768B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0B9-B84E-A7F0-33D72BF9011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27B391-5B36-5441-8ED5-1054044F4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B9-B84E-A7F0-33D72BF9011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AB1656-5F84-4A42-A33A-0B7EB15D9F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0B9-B84E-A7F0-33D72BF9011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B23325B-9D00-5446-80CC-8B49AF8BD3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0B9-B84E-A7F0-33D72BF9011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9C7BC83-69B6-2340-B9D6-1FDFFF87AC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0B9-B84E-A7F0-33D72BF901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3D4AF80-A493-0A4C-80D6-716DDBD13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0B9-B84E-A7F0-33D72BF9011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0B9-B84E-A7F0-33D72BF9011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0B9-B84E-A7F0-33D72BF9011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59FC5F4-4E43-F946-A542-CE3550CC8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0B9-B84E-A7F0-33D72BF9011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8F363B6-BB6A-144E-B0DE-18FAFFFC2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0B9-B84E-A7F0-33D72BF9011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55E6D95-CCA3-BE4A-8964-04D42A956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0B9-B84E-A7F0-33D72BF9011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556E8A8-4221-3A4A-BD9B-49E67E6DC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0B9-B84E-A7F0-33D72BF9011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0B9-B84E-A7F0-33D72BF9011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0B9-B84E-A7F0-33D72BF90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'P-0403 - Ostion'!$E$2:$E$23</c:f>
              <c:numCache>
                <c:formatCode>General</c:formatCode>
                <c:ptCount val="22"/>
                <c:pt idx="0">
                  <c:v>2.2000000000000002</c:v>
                </c:pt>
                <c:pt idx="1">
                  <c:v>2.27</c:v>
                </c:pt>
                <c:pt idx="2">
                  <c:v>0.48</c:v>
                </c:pt>
                <c:pt idx="3">
                  <c:v>0.42</c:v>
                </c:pt>
                <c:pt idx="4">
                  <c:v>0.51</c:v>
                </c:pt>
                <c:pt idx="5">
                  <c:v>0.29499999999999998</c:v>
                </c:pt>
                <c:pt idx="6">
                  <c:v>0.15</c:v>
                </c:pt>
                <c:pt idx="7">
                  <c:v>0.32</c:v>
                </c:pt>
                <c:pt idx="8">
                  <c:v>2.27</c:v>
                </c:pt>
                <c:pt idx="9">
                  <c:v>2.27</c:v>
                </c:pt>
                <c:pt idx="10">
                  <c:v>2.2000000000000002</c:v>
                </c:pt>
                <c:pt idx="11">
                  <c:v>0.77</c:v>
                </c:pt>
                <c:pt idx="12">
                  <c:v>0.27</c:v>
                </c:pt>
                <c:pt idx="13">
                  <c:v>0.25</c:v>
                </c:pt>
                <c:pt idx="16">
                  <c:v>0.32</c:v>
                </c:pt>
                <c:pt idx="17">
                  <c:v>0.26</c:v>
                </c:pt>
                <c:pt idx="18">
                  <c:v>0.48</c:v>
                </c:pt>
                <c:pt idx="19">
                  <c:v>0.26</c:v>
                </c:pt>
              </c:numCache>
            </c:numRef>
          </c:xVal>
          <c:yVal>
            <c:numRef>
              <c:f>'P-0403 - Ostion'!$H$2:$H$23</c:f>
              <c:numCache>
                <c:formatCode>_("$"* #,##0.00_);_("$"* \(#,##0.00\);_("$"* "-"??_);_(@_)</c:formatCode>
                <c:ptCount val="22"/>
                <c:pt idx="0">
                  <c:v>94.999999999999986</c:v>
                </c:pt>
                <c:pt idx="1">
                  <c:v>107.48898678414096</c:v>
                </c:pt>
                <c:pt idx="2">
                  <c:v>139.37500000000003</c:v>
                </c:pt>
                <c:pt idx="3">
                  <c:v>152.14285714285714</c:v>
                </c:pt>
                <c:pt idx="4">
                  <c:v>264.70588235294116</c:v>
                </c:pt>
                <c:pt idx="5">
                  <c:v>159.32203389830508</c:v>
                </c:pt>
                <c:pt idx="6">
                  <c:v>453.33333333333337</c:v>
                </c:pt>
                <c:pt idx="7">
                  <c:v>168.75</c:v>
                </c:pt>
                <c:pt idx="8">
                  <c:v>105.2863436123348</c:v>
                </c:pt>
                <c:pt idx="9">
                  <c:v>167.40088105726872</c:v>
                </c:pt>
                <c:pt idx="10">
                  <c:v>65.454545454545453</c:v>
                </c:pt>
                <c:pt idx="11">
                  <c:v>95.649350649350652</c:v>
                </c:pt>
                <c:pt idx="12">
                  <c:v>148.14814814814815</c:v>
                </c:pt>
                <c:pt idx="13">
                  <c:v>508</c:v>
                </c:pt>
                <c:pt idx="16">
                  <c:v>175</c:v>
                </c:pt>
                <c:pt idx="17">
                  <c:v>230.76923076923077</c:v>
                </c:pt>
                <c:pt idx="18">
                  <c:v>112.29166666666667</c:v>
                </c:pt>
                <c:pt idx="19">
                  <c:v>326.53846153846155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'P-0403 - Ostion'!$B$2:$B$23</c15:f>
                <c15:dlblRangeCache>
                  <c:ptCount val="22"/>
                  <c:pt idx="0">
                    <c:v>Lee kum kee</c:v>
                  </c:pt>
                  <c:pt idx="1">
                    <c:v>Lee kum kee</c:v>
                  </c:pt>
                  <c:pt idx="2">
                    <c:v>Lee kum kee</c:v>
                  </c:pt>
                  <c:pt idx="3">
                    <c:v>Maatsuri</c:v>
                  </c:pt>
                  <c:pt idx="4">
                    <c:v>Lee kum kee</c:v>
                  </c:pt>
                  <c:pt idx="5">
                    <c:v>Thai pride</c:v>
                  </c:pt>
                  <c:pt idx="6">
                    <c:v>Polar</c:v>
                  </c:pt>
                  <c:pt idx="7">
                    <c:v>Thai prestige</c:v>
                  </c:pt>
                  <c:pt idx="8">
                    <c:v>Haday</c:v>
                  </c:pt>
                  <c:pt idx="9">
                    <c:v>Kikoman</c:v>
                  </c:pt>
                  <c:pt idx="10">
                    <c:v>Lee kum kee</c:v>
                  </c:pt>
                  <c:pt idx="11">
                    <c:v>Thaui prestige</c:v>
                  </c:pt>
                  <c:pt idx="12">
                    <c:v>Uteki</c:v>
                  </c:pt>
                  <c:pt idx="13">
                    <c:v>Unkai</c:v>
                  </c:pt>
                  <c:pt idx="15">
                    <c:v>NA</c:v>
                  </c:pt>
                  <c:pt idx="16">
                    <c:v>Thaui prestige</c:v>
                  </c:pt>
                  <c:pt idx="17">
                    <c:v>Yumart</c:v>
                  </c:pt>
                  <c:pt idx="18">
                    <c:v>Kum Chun</c:v>
                  </c:pt>
                  <c:pt idx="19">
                    <c:v>Mitsuki</c:v>
                  </c:pt>
                  <c:pt idx="20">
                    <c:v>NA</c:v>
                  </c:pt>
                  <c:pt idx="21">
                    <c:v>NA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0B9-B84E-A7F0-33D72BF90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401663"/>
        <c:axId val="1314395391"/>
      </c:scatterChart>
      <c:valAx>
        <c:axId val="131440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314395391"/>
        <c:crosses val="autoZero"/>
        <c:crossBetween val="midCat"/>
      </c:valAx>
      <c:valAx>
        <c:axId val="13143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31440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52418447694036E-2"/>
          <c:y val="3.7168270632837563E-2"/>
          <c:w val="0.94546186726659165"/>
          <c:h val="0.90698296393506372"/>
        </c:manualLayout>
      </c:layout>
      <c:scatterChart>
        <c:scatterStyle val="lineMarker"/>
        <c:varyColors val="0"/>
        <c:ser>
          <c:idx val="0"/>
          <c:order val="0"/>
          <c:tx>
            <c:strRef>
              <c:f> </c:f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'P-0404 Teriyaki'!$E$2:$E$32</c:f>
              <c:numCache>
                <c:formatCode>General</c:formatCode>
                <c:ptCount val="31"/>
                <c:pt idx="0">
                  <c:v>0.32</c:v>
                </c:pt>
                <c:pt idx="1">
                  <c:v>0.34</c:v>
                </c:pt>
                <c:pt idx="2">
                  <c:v>0.35499999999999998</c:v>
                </c:pt>
                <c:pt idx="3">
                  <c:v>0.19</c:v>
                </c:pt>
                <c:pt idx="4">
                  <c:v>0.25</c:v>
                </c:pt>
                <c:pt idx="5">
                  <c:v>0.58099999999999996</c:v>
                </c:pt>
                <c:pt idx="6">
                  <c:v>0.25</c:v>
                </c:pt>
                <c:pt idx="7">
                  <c:v>0.3</c:v>
                </c:pt>
                <c:pt idx="8">
                  <c:v>0.44800000000000001</c:v>
                </c:pt>
                <c:pt idx="9">
                  <c:v>0.47299999999999998</c:v>
                </c:pt>
                <c:pt idx="10">
                  <c:v>0.34</c:v>
                </c:pt>
                <c:pt idx="11">
                  <c:v>0.22700000000000001</c:v>
                </c:pt>
                <c:pt idx="12">
                  <c:v>0.34</c:v>
                </c:pt>
                <c:pt idx="13">
                  <c:v>0.29599999999999999</c:v>
                </c:pt>
                <c:pt idx="14">
                  <c:v>0.35</c:v>
                </c:pt>
                <c:pt idx="15">
                  <c:v>0.32600000000000001</c:v>
                </c:pt>
                <c:pt idx="16">
                  <c:v>0.35499999999999998</c:v>
                </c:pt>
                <c:pt idx="17">
                  <c:v>0.25</c:v>
                </c:pt>
                <c:pt idx="18">
                  <c:v>0.35</c:v>
                </c:pt>
                <c:pt idx="19">
                  <c:v>0.44400000000000001</c:v>
                </c:pt>
                <c:pt idx="20">
                  <c:v>0.29599999999999999</c:v>
                </c:pt>
                <c:pt idx="21">
                  <c:v>0.34</c:v>
                </c:pt>
                <c:pt idx="22">
                  <c:v>2.27</c:v>
                </c:pt>
                <c:pt idx="23">
                  <c:v>2.27</c:v>
                </c:pt>
                <c:pt idx="24">
                  <c:v>3.8</c:v>
                </c:pt>
                <c:pt idx="25">
                  <c:v>3.8</c:v>
                </c:pt>
              </c:numCache>
            </c:numRef>
          </c:xVal>
          <c:yVal>
            <c:numRef>
              <c:f>'P-0404 Teriyaki'!$F$2:$F$32</c:f>
              <c:numCache>
                <c:formatCode>_("$"* #,##0.0_);_("$"* \(#,##0.0\);_("$"* "-"??_);_(@_)</c:formatCode>
                <c:ptCount val="31"/>
                <c:pt idx="0">
                  <c:v>59</c:v>
                </c:pt>
                <c:pt idx="1">
                  <c:v>81</c:v>
                </c:pt>
                <c:pt idx="2">
                  <c:v>47</c:v>
                </c:pt>
                <c:pt idx="3">
                  <c:v>87</c:v>
                </c:pt>
                <c:pt idx="4">
                  <c:v>29</c:v>
                </c:pt>
                <c:pt idx="5">
                  <c:v>139</c:v>
                </c:pt>
                <c:pt idx="6">
                  <c:v>135</c:v>
                </c:pt>
                <c:pt idx="7">
                  <c:v>65</c:v>
                </c:pt>
                <c:pt idx="8">
                  <c:v>99</c:v>
                </c:pt>
                <c:pt idx="9">
                  <c:v>102</c:v>
                </c:pt>
                <c:pt idx="10">
                  <c:v>91.5</c:v>
                </c:pt>
                <c:pt idx="11">
                  <c:v>38.9</c:v>
                </c:pt>
                <c:pt idx="12">
                  <c:v>103</c:v>
                </c:pt>
                <c:pt idx="13">
                  <c:v>93</c:v>
                </c:pt>
                <c:pt idx="14">
                  <c:v>41</c:v>
                </c:pt>
                <c:pt idx="15">
                  <c:v>121</c:v>
                </c:pt>
                <c:pt idx="16">
                  <c:v>62.9</c:v>
                </c:pt>
                <c:pt idx="17">
                  <c:v>135</c:v>
                </c:pt>
                <c:pt idx="18" formatCode="General">
                  <c:v>39</c:v>
                </c:pt>
                <c:pt idx="19" formatCode="General">
                  <c:v>50</c:v>
                </c:pt>
                <c:pt idx="20" formatCode="General">
                  <c:v>80</c:v>
                </c:pt>
                <c:pt idx="21" formatCode="General">
                  <c:v>76</c:v>
                </c:pt>
                <c:pt idx="22">
                  <c:v>330</c:v>
                </c:pt>
                <c:pt idx="23">
                  <c:v>427</c:v>
                </c:pt>
                <c:pt idx="24" formatCode="General">
                  <c:v>261</c:v>
                </c:pt>
                <c:pt idx="25" formatCode="General">
                  <c:v>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8-D448-ACC8-B55D0FBE236B}"/>
            </c:ext>
          </c:extLst>
        </c:ser>
        <c:ser>
          <c:idx val="1"/>
          <c:order val="1"/>
          <c:tx>
            <c:strRef>
              <c:f>'P-0404 Teriyaki'!$A$33</c:f>
              <c:strCache>
                <c:ptCount val="1"/>
                <c:pt idx="0">
                  <c:v>Takumi Ichi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'P-0404 Teriyaki'!$E$33:$E$35</c:f>
              <c:numCache>
                <c:formatCode>General</c:formatCode>
                <c:ptCount val="3"/>
                <c:pt idx="0">
                  <c:v>3.78</c:v>
                </c:pt>
                <c:pt idx="1">
                  <c:v>0.94599999999999995</c:v>
                </c:pt>
                <c:pt idx="2">
                  <c:v>0.41399999999999998</c:v>
                </c:pt>
              </c:numCache>
            </c:numRef>
          </c:xVal>
          <c:yVal>
            <c:numRef>
              <c:f>'P-0404 Teriyaki'!$F$33:$F$35</c:f>
              <c:numCache>
                <c:formatCode>_("$"* #,##0.00_);_("$"* \(#,##0.00\);_("$"* "-"??_);_(@_)</c:formatCode>
                <c:ptCount val="3"/>
                <c:pt idx="0">
                  <c:v>323.98212512413113</c:v>
                </c:pt>
                <c:pt idx="1">
                  <c:v>88.007208102901885</c:v>
                </c:pt>
                <c:pt idx="2">
                  <c:v>57.566422795533313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1-A94B-8155-2F08C2E3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181183"/>
        <c:axId val="1087183871"/>
      </c:scatterChart>
      <c:valAx>
        <c:axId val="108718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3871"/>
        <c:crosses val="autoZero"/>
        <c:crossBetween val="midCat"/>
      </c:valAx>
      <c:valAx>
        <c:axId val="10871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52418447694036E-2"/>
          <c:y val="3.7168270632837563E-2"/>
          <c:w val="0.94546186726659165"/>
          <c:h val="0.9069829639350637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'P-0404 Teriyaki'!$F$1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'P-0404 Teriyaki'!$E$2:$E$32</c:f>
              <c:numCache>
                <c:formatCode>General</c:formatCode>
                <c:ptCount val="31"/>
                <c:pt idx="0">
                  <c:v>0.32</c:v>
                </c:pt>
                <c:pt idx="1">
                  <c:v>0.34</c:v>
                </c:pt>
                <c:pt idx="2">
                  <c:v>0.35499999999999998</c:v>
                </c:pt>
                <c:pt idx="3">
                  <c:v>0.19</c:v>
                </c:pt>
                <c:pt idx="4">
                  <c:v>0.25</c:v>
                </c:pt>
                <c:pt idx="5">
                  <c:v>0.58099999999999996</c:v>
                </c:pt>
                <c:pt idx="6">
                  <c:v>0.25</c:v>
                </c:pt>
                <c:pt idx="7">
                  <c:v>0.3</c:v>
                </c:pt>
                <c:pt idx="8">
                  <c:v>0.44800000000000001</c:v>
                </c:pt>
                <c:pt idx="9">
                  <c:v>0.47299999999999998</c:v>
                </c:pt>
                <c:pt idx="10">
                  <c:v>0.34</c:v>
                </c:pt>
                <c:pt idx="11">
                  <c:v>0.22700000000000001</c:v>
                </c:pt>
                <c:pt idx="12">
                  <c:v>0.34</c:v>
                </c:pt>
                <c:pt idx="13">
                  <c:v>0.29599999999999999</c:v>
                </c:pt>
                <c:pt idx="14">
                  <c:v>0.35</c:v>
                </c:pt>
                <c:pt idx="15">
                  <c:v>0.32600000000000001</c:v>
                </c:pt>
                <c:pt idx="16">
                  <c:v>0.35499999999999998</c:v>
                </c:pt>
                <c:pt idx="17">
                  <c:v>0.25</c:v>
                </c:pt>
                <c:pt idx="18">
                  <c:v>0.35</c:v>
                </c:pt>
                <c:pt idx="19">
                  <c:v>0.44400000000000001</c:v>
                </c:pt>
                <c:pt idx="20">
                  <c:v>0.29599999999999999</c:v>
                </c:pt>
                <c:pt idx="21">
                  <c:v>0.34</c:v>
                </c:pt>
                <c:pt idx="22">
                  <c:v>2.27</c:v>
                </c:pt>
                <c:pt idx="23">
                  <c:v>2.27</c:v>
                </c:pt>
                <c:pt idx="24">
                  <c:v>3.8</c:v>
                </c:pt>
                <c:pt idx="25">
                  <c:v>3.8</c:v>
                </c:pt>
              </c:numCache>
            </c:numRef>
          </c:xVal>
          <c:yVal>
            <c:numRef>
              <c:f>'P-0404 Teriyaki'!$H$2:$H$32</c:f>
              <c:numCache>
                <c:formatCode>_("$"* #,##0.00_);_("$"* \(#,##0.00\);_("$"* "-"??_);_(@_)</c:formatCode>
                <c:ptCount val="31"/>
                <c:pt idx="0">
                  <c:v>184.375</c:v>
                </c:pt>
                <c:pt idx="1">
                  <c:v>238.23529411764704</c:v>
                </c:pt>
                <c:pt idx="2">
                  <c:v>132.3943661971831</c:v>
                </c:pt>
                <c:pt idx="3">
                  <c:v>457.89473684210526</c:v>
                </c:pt>
                <c:pt idx="4">
                  <c:v>116</c:v>
                </c:pt>
                <c:pt idx="5">
                  <c:v>239.24268502581756</c:v>
                </c:pt>
                <c:pt idx="6">
                  <c:v>540</c:v>
                </c:pt>
                <c:pt idx="7">
                  <c:v>216.66666666666669</c:v>
                </c:pt>
                <c:pt idx="8">
                  <c:v>220.98214285714286</c:v>
                </c:pt>
                <c:pt idx="9">
                  <c:v>215.6448202959831</c:v>
                </c:pt>
                <c:pt idx="10">
                  <c:v>269.11764705882354</c:v>
                </c:pt>
                <c:pt idx="11">
                  <c:v>171.36563876651982</c:v>
                </c:pt>
                <c:pt idx="12">
                  <c:v>302.94117647058823</c:v>
                </c:pt>
                <c:pt idx="13">
                  <c:v>314.18918918918922</c:v>
                </c:pt>
                <c:pt idx="14">
                  <c:v>117.14285714285715</c:v>
                </c:pt>
                <c:pt idx="15">
                  <c:v>371.16564417177915</c:v>
                </c:pt>
                <c:pt idx="16">
                  <c:v>177.18309859154931</c:v>
                </c:pt>
                <c:pt idx="17">
                  <c:v>540</c:v>
                </c:pt>
                <c:pt idx="18">
                  <c:v>111.42857142857143</c:v>
                </c:pt>
                <c:pt idx="19">
                  <c:v>112.61261261261261</c:v>
                </c:pt>
                <c:pt idx="20">
                  <c:v>270.27027027027026</c:v>
                </c:pt>
                <c:pt idx="21">
                  <c:v>223.52941176470586</c:v>
                </c:pt>
                <c:pt idx="22">
                  <c:v>145.37444933920705</c:v>
                </c:pt>
                <c:pt idx="23">
                  <c:v>188.10572687224669</c:v>
                </c:pt>
                <c:pt idx="24">
                  <c:v>68.684210526315795</c:v>
                </c:pt>
                <c:pt idx="25">
                  <c:v>121.57894736842105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5-EE44-ACEC-A8FA05C842A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'P-0404 Teriyaki'!$E$33:$E$35</c:f>
              <c:numCache>
                <c:formatCode>General</c:formatCode>
                <c:ptCount val="3"/>
                <c:pt idx="0">
                  <c:v>3.78</c:v>
                </c:pt>
                <c:pt idx="1">
                  <c:v>0.94599999999999995</c:v>
                </c:pt>
                <c:pt idx="2">
                  <c:v>0.41399999999999998</c:v>
                </c:pt>
              </c:numCache>
            </c:numRef>
          </c:xVal>
          <c:yVal>
            <c:numRef>
              <c:f>'P-0404 Teriyaki'!$H$33:$H$35</c:f>
              <c:numCache>
                <c:formatCode>_("$"* #,##0.00_);_("$"* \(#,##0.00\);_("$"* "-"??_);_(@_)</c:formatCode>
                <c:ptCount val="3"/>
                <c:pt idx="0">
                  <c:v>85.70955691114581</c:v>
                </c:pt>
                <c:pt idx="1">
                  <c:v>93.030875373046399</c:v>
                </c:pt>
                <c:pt idx="2">
                  <c:v>139.04933042399352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A5-EE44-ACEC-A8FA05C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181183"/>
        <c:axId val="1087183871"/>
      </c:scatterChart>
      <c:valAx>
        <c:axId val="108718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3871"/>
        <c:crosses val="autoZero"/>
        <c:crossBetween val="midCat"/>
      </c:valAx>
      <c:valAx>
        <c:axId val="10871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 </c:f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'P-0408 Mayo Chipotle'!$E$2:$E$25</c:f>
              <c:numCache>
                <c:formatCode>General</c:formatCode>
                <c:ptCount val="24"/>
                <c:pt idx="0">
                  <c:v>0.31</c:v>
                </c:pt>
                <c:pt idx="1">
                  <c:v>0.42499999999999999</c:v>
                </c:pt>
                <c:pt idx="2">
                  <c:v>0.31</c:v>
                </c:pt>
                <c:pt idx="3">
                  <c:v>0.31</c:v>
                </c:pt>
                <c:pt idx="4">
                  <c:v>0.31</c:v>
                </c:pt>
                <c:pt idx="5">
                  <c:v>0.38</c:v>
                </c:pt>
                <c:pt idx="6">
                  <c:v>0.3</c:v>
                </c:pt>
                <c:pt idx="7">
                  <c:v>0.34</c:v>
                </c:pt>
                <c:pt idx="8">
                  <c:v>0.42499999999999999</c:v>
                </c:pt>
                <c:pt idx="9">
                  <c:v>0.31</c:v>
                </c:pt>
                <c:pt idx="10">
                  <c:v>0.31</c:v>
                </c:pt>
                <c:pt idx="11">
                  <c:v>0.38</c:v>
                </c:pt>
                <c:pt idx="12">
                  <c:v>0.312</c:v>
                </c:pt>
                <c:pt idx="13">
                  <c:v>0.49</c:v>
                </c:pt>
                <c:pt idx="14">
                  <c:v>0.35</c:v>
                </c:pt>
                <c:pt idx="15">
                  <c:v>3.8</c:v>
                </c:pt>
                <c:pt idx="16">
                  <c:v>2</c:v>
                </c:pt>
              </c:numCache>
            </c:numRef>
          </c:xVal>
          <c:yVal>
            <c:numRef>
              <c:f>'P-0408 Mayo Chipotle'!$F$2:$F$25</c:f>
              <c:numCache>
                <c:formatCode>_("$"* #,##0.0_);_("$"* \(#,##0.0\);_("$"* "-"??_);_(@_)</c:formatCode>
                <c:ptCount val="24"/>
                <c:pt idx="0">
                  <c:v>32</c:v>
                </c:pt>
                <c:pt idx="1">
                  <c:v>41</c:v>
                </c:pt>
                <c:pt idx="2">
                  <c:v>41</c:v>
                </c:pt>
                <c:pt idx="3">
                  <c:v>36</c:v>
                </c:pt>
                <c:pt idx="4">
                  <c:v>36</c:v>
                </c:pt>
                <c:pt idx="5">
                  <c:v>45</c:v>
                </c:pt>
                <c:pt idx="6">
                  <c:v>50</c:v>
                </c:pt>
                <c:pt idx="7">
                  <c:v>40</c:v>
                </c:pt>
                <c:pt idx="8">
                  <c:v>43</c:v>
                </c:pt>
                <c:pt idx="9">
                  <c:v>45.9</c:v>
                </c:pt>
                <c:pt idx="10">
                  <c:v>38</c:v>
                </c:pt>
                <c:pt idx="11">
                  <c:v>60</c:v>
                </c:pt>
                <c:pt idx="12">
                  <c:v>48</c:v>
                </c:pt>
                <c:pt idx="13">
                  <c:v>49</c:v>
                </c:pt>
                <c:pt idx="14">
                  <c:v>51.5</c:v>
                </c:pt>
                <c:pt idx="15">
                  <c:v>299</c:v>
                </c:pt>
                <c:pt idx="16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8-7E45-9D3B-4A866D21BE49}"/>
            </c:ext>
          </c:extLst>
        </c:ser>
        <c:ser>
          <c:idx val="1"/>
          <c:order val="1"/>
          <c:tx>
            <c:strRef>
              <c:f>'P-0408 Mayo Chipotle'!$A$26</c:f>
              <c:strCache>
                <c:ptCount val="1"/>
                <c:pt idx="0">
                  <c:v>Takumi Ichi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'P-0408 Mayo Chipotle'!$E$26:$E$28</c:f>
              <c:numCache>
                <c:formatCode>General</c:formatCode>
                <c:ptCount val="3"/>
                <c:pt idx="0">
                  <c:v>3.78</c:v>
                </c:pt>
                <c:pt idx="1">
                  <c:v>0.94599999999999995</c:v>
                </c:pt>
                <c:pt idx="2">
                  <c:v>0.41399999999999998</c:v>
                </c:pt>
              </c:numCache>
            </c:numRef>
          </c:xVal>
          <c:yVal>
            <c:numRef>
              <c:f>'P-0408 Mayo Chipotle'!$F$26:$F$28</c:f>
              <c:numCache>
                <c:formatCode>_("$"* #,##0.00_);_("$"* \(#,##0.00\);_("$"* "-"??_);_(@_)</c:formatCode>
                <c:ptCount val="3"/>
                <c:pt idx="0">
                  <c:v>268.77173368950497</c:v>
                </c:pt>
                <c:pt idx="1">
                  <c:v>80.028727844327605</c:v>
                </c:pt>
                <c:pt idx="2">
                  <c:v>45.534973079386162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1-F04B-BE63-1FC81AF39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188351"/>
        <c:axId val="1087181631"/>
      </c:scatterChart>
      <c:valAx>
        <c:axId val="108718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1631"/>
        <c:crosses val="autoZero"/>
        <c:crossBetween val="midCat"/>
      </c:valAx>
      <c:valAx>
        <c:axId val="108718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'P-0408 Mayo Chipotle'!$F$1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'P-0408 Mayo Chipotle'!$E$2:$E$25</c:f>
              <c:numCache>
                <c:formatCode>General</c:formatCode>
                <c:ptCount val="24"/>
                <c:pt idx="0">
                  <c:v>0.31</c:v>
                </c:pt>
                <c:pt idx="1">
                  <c:v>0.42499999999999999</c:v>
                </c:pt>
                <c:pt idx="2">
                  <c:v>0.31</c:v>
                </c:pt>
                <c:pt idx="3">
                  <c:v>0.31</c:v>
                </c:pt>
                <c:pt idx="4">
                  <c:v>0.31</c:v>
                </c:pt>
                <c:pt idx="5">
                  <c:v>0.38</c:v>
                </c:pt>
                <c:pt idx="6">
                  <c:v>0.3</c:v>
                </c:pt>
                <c:pt idx="7">
                  <c:v>0.34</c:v>
                </c:pt>
                <c:pt idx="8">
                  <c:v>0.42499999999999999</c:v>
                </c:pt>
                <c:pt idx="9">
                  <c:v>0.31</c:v>
                </c:pt>
                <c:pt idx="10">
                  <c:v>0.31</c:v>
                </c:pt>
                <c:pt idx="11">
                  <c:v>0.38</c:v>
                </c:pt>
                <c:pt idx="12">
                  <c:v>0.312</c:v>
                </c:pt>
                <c:pt idx="13">
                  <c:v>0.49</c:v>
                </c:pt>
                <c:pt idx="14">
                  <c:v>0.35</c:v>
                </c:pt>
                <c:pt idx="15">
                  <c:v>3.8</c:v>
                </c:pt>
                <c:pt idx="16">
                  <c:v>2</c:v>
                </c:pt>
              </c:numCache>
            </c:numRef>
          </c:xVal>
          <c:yVal>
            <c:numRef>
              <c:f>'P-0408 Mayo Chipotle'!$H$2:$H$25</c:f>
              <c:numCache>
                <c:formatCode>_("$"* #,##0.00_);_("$"* \(#,##0.00\);_("$"* "-"??_);_(@_)</c:formatCode>
                <c:ptCount val="24"/>
                <c:pt idx="0">
                  <c:v>103.22580645161291</c:v>
                </c:pt>
                <c:pt idx="1">
                  <c:v>96.470588235294116</c:v>
                </c:pt>
                <c:pt idx="2">
                  <c:v>132.25806451612902</c:v>
                </c:pt>
                <c:pt idx="3">
                  <c:v>116.12903225806451</c:v>
                </c:pt>
                <c:pt idx="4">
                  <c:v>116.12903225806451</c:v>
                </c:pt>
                <c:pt idx="5">
                  <c:v>118.42105263157895</c:v>
                </c:pt>
                <c:pt idx="6">
                  <c:v>166.66666666666669</c:v>
                </c:pt>
                <c:pt idx="7">
                  <c:v>117.64705882352941</c:v>
                </c:pt>
                <c:pt idx="8">
                  <c:v>101.17647058823529</c:v>
                </c:pt>
                <c:pt idx="9">
                  <c:v>148.06451612903226</c:v>
                </c:pt>
                <c:pt idx="10">
                  <c:v>122.58064516129032</c:v>
                </c:pt>
                <c:pt idx="11">
                  <c:v>157.89473684210526</c:v>
                </c:pt>
                <c:pt idx="12">
                  <c:v>153.84615384615384</c:v>
                </c:pt>
                <c:pt idx="13">
                  <c:v>100</c:v>
                </c:pt>
                <c:pt idx="14">
                  <c:v>147.14285714285714</c:v>
                </c:pt>
                <c:pt idx="15">
                  <c:v>78.684210526315795</c:v>
                </c:pt>
                <c:pt idx="16">
                  <c:v>112.5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E-C342-8DD8-905AD6D8FB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'P-0408 Mayo Chipotle'!$E$26:$E$28</c:f>
              <c:numCache>
                <c:formatCode>General</c:formatCode>
                <c:ptCount val="3"/>
                <c:pt idx="0">
                  <c:v>3.78</c:v>
                </c:pt>
                <c:pt idx="1">
                  <c:v>0.94599999999999995</c:v>
                </c:pt>
                <c:pt idx="2">
                  <c:v>0.41399999999999998</c:v>
                </c:pt>
              </c:numCache>
            </c:numRef>
          </c:xVal>
          <c:yVal>
            <c:numRef>
              <c:f>'P-0408 Mayo Chipotle'!$H$26:$H$28</c:f>
              <c:numCache>
                <c:formatCode>_("$"* #,##0.00_);_("$"* \(#,##0.00\);_("$"* "-"??_);_(@_)</c:formatCode>
                <c:ptCount val="3"/>
                <c:pt idx="0">
                  <c:v>71.103633251191795</c:v>
                </c:pt>
                <c:pt idx="1">
                  <c:v>84.596963894638066</c:v>
                </c:pt>
                <c:pt idx="2">
                  <c:v>109.98785767967672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EE-C342-8DD8-905AD6D8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188351"/>
        <c:axId val="1087181631"/>
      </c:scatterChart>
      <c:valAx>
        <c:axId val="108718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1631"/>
        <c:crosses val="autoZero"/>
        <c:crossBetween val="midCat"/>
      </c:valAx>
      <c:valAx>
        <c:axId val="108718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 </c:f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'P-0410 Sriracha'!$E$2:$E$30</c:f>
              <c:numCache>
                <c:formatCode>General</c:formatCode>
                <c:ptCount val="29"/>
                <c:pt idx="0">
                  <c:v>0.48099999999999998</c:v>
                </c:pt>
                <c:pt idx="1">
                  <c:v>0.56599999999999995</c:v>
                </c:pt>
                <c:pt idx="2">
                  <c:v>0.51</c:v>
                </c:pt>
                <c:pt idx="3">
                  <c:v>0.27800000000000002</c:v>
                </c:pt>
                <c:pt idx="4">
                  <c:v>0.5</c:v>
                </c:pt>
                <c:pt idx="5">
                  <c:v>0.56699999999999995</c:v>
                </c:pt>
                <c:pt idx="6">
                  <c:v>0.48199999999999998</c:v>
                </c:pt>
                <c:pt idx="7">
                  <c:v>0.5</c:v>
                </c:pt>
                <c:pt idx="8">
                  <c:v>0.2</c:v>
                </c:pt>
                <c:pt idx="9">
                  <c:v>0.25600000000000001</c:v>
                </c:pt>
                <c:pt idx="10">
                  <c:v>0.47499999999999998</c:v>
                </c:pt>
                <c:pt idx="11">
                  <c:v>0.2</c:v>
                </c:pt>
                <c:pt idx="12">
                  <c:v>0.45500000000000002</c:v>
                </c:pt>
                <c:pt idx="13">
                  <c:v>0.51</c:v>
                </c:pt>
                <c:pt idx="14">
                  <c:v>0.5</c:v>
                </c:pt>
                <c:pt idx="15">
                  <c:v>0.25600000000000001</c:v>
                </c:pt>
                <c:pt idx="16">
                  <c:v>0.73</c:v>
                </c:pt>
                <c:pt idx="17">
                  <c:v>0.73</c:v>
                </c:pt>
                <c:pt idx="18">
                  <c:v>0.79300000000000004</c:v>
                </c:pt>
                <c:pt idx="19">
                  <c:v>0.79300000000000004</c:v>
                </c:pt>
                <c:pt idx="20">
                  <c:v>3.8</c:v>
                </c:pt>
                <c:pt idx="21">
                  <c:v>1.89</c:v>
                </c:pt>
                <c:pt idx="26">
                  <c:v>0.41399999999999998</c:v>
                </c:pt>
              </c:numCache>
            </c:numRef>
          </c:xVal>
          <c:yVal>
            <c:numRef>
              <c:f>'P-0410 Sriracha'!$F$2:$F$30</c:f>
              <c:numCache>
                <c:formatCode>_("$"* #,##0_);_("$"* \(#,##0\);_("$"* "-"??_);_(@_)</c:formatCode>
                <c:ptCount val="29"/>
                <c:pt idx="0">
                  <c:v>73</c:v>
                </c:pt>
                <c:pt idx="1">
                  <c:v>129</c:v>
                </c:pt>
                <c:pt idx="2">
                  <c:v>155</c:v>
                </c:pt>
                <c:pt idx="3">
                  <c:v>139</c:v>
                </c:pt>
                <c:pt idx="4">
                  <c:v>67.150000000000006</c:v>
                </c:pt>
                <c:pt idx="5">
                  <c:v>136</c:v>
                </c:pt>
                <c:pt idx="6">
                  <c:v>128</c:v>
                </c:pt>
                <c:pt idx="7">
                  <c:v>50</c:v>
                </c:pt>
                <c:pt idx="8">
                  <c:v>67</c:v>
                </c:pt>
                <c:pt idx="9">
                  <c:v>84</c:v>
                </c:pt>
                <c:pt idx="10">
                  <c:v>80</c:v>
                </c:pt>
                <c:pt idx="11">
                  <c:v>79</c:v>
                </c:pt>
                <c:pt idx="12">
                  <c:v>121</c:v>
                </c:pt>
                <c:pt idx="13">
                  <c:v>163</c:v>
                </c:pt>
                <c:pt idx="14">
                  <c:v>48</c:v>
                </c:pt>
                <c:pt idx="15">
                  <c:v>90</c:v>
                </c:pt>
                <c:pt idx="16">
                  <c:v>119.9</c:v>
                </c:pt>
                <c:pt idx="17">
                  <c:v>131.9</c:v>
                </c:pt>
                <c:pt idx="18">
                  <c:v>132</c:v>
                </c:pt>
                <c:pt idx="19">
                  <c:v>120</c:v>
                </c:pt>
                <c:pt idx="20">
                  <c:v>280</c:v>
                </c:pt>
                <c:pt idx="21">
                  <c:v>288</c:v>
                </c:pt>
                <c:pt idx="26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B-E74D-8116-5764EE88ECA2}"/>
            </c:ext>
          </c:extLst>
        </c:ser>
        <c:ser>
          <c:idx val="1"/>
          <c:order val="1"/>
          <c:tx>
            <c:strRef>
              <c:f>'P-0410 Sriracha'!$A$31</c:f>
              <c:strCache>
                <c:ptCount val="1"/>
                <c:pt idx="0">
                  <c:v>Takumi ichi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'P-0410 Sriracha'!$E$31:$E$33</c:f>
              <c:numCache>
                <c:formatCode>General</c:formatCode>
                <c:ptCount val="3"/>
                <c:pt idx="0">
                  <c:v>3.78</c:v>
                </c:pt>
                <c:pt idx="1">
                  <c:v>0.94599999999999995</c:v>
                </c:pt>
                <c:pt idx="2">
                  <c:v>0.41399999999999998</c:v>
                </c:pt>
              </c:numCache>
            </c:numRef>
          </c:xVal>
          <c:yVal>
            <c:numRef>
              <c:f>'P-0410 Sriracha'!$F$31:$F$33</c:f>
              <c:numCache>
                <c:formatCode>_("$"* #,##0.00_);_("$"* \(#,##0.00\);_("$"* "-"??_);_(@_)</c:formatCode>
                <c:ptCount val="3"/>
                <c:pt idx="0">
                  <c:v>331.91085822664775</c:v>
                </c:pt>
                <c:pt idx="1">
                  <c:v>101.88097074704798</c:v>
                </c:pt>
                <c:pt idx="2">
                  <c:v>57.725638096227243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F-3C4F-A0E6-3733F0C93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818111"/>
        <c:axId val="1087180735"/>
      </c:scatterChart>
      <c:valAx>
        <c:axId val="108981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0735"/>
        <c:crosses val="autoZero"/>
        <c:crossBetween val="midCat"/>
      </c:valAx>
      <c:valAx>
        <c:axId val="10871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981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'P-0410 Sriracha'!$F$1</c:f>
              <c:strCache>
                <c:ptCount val="1"/>
                <c:pt idx="0">
                  <c:v> precio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'P-0410 Sriracha'!$E$2:$E$30</c:f>
              <c:numCache>
                <c:formatCode>General</c:formatCode>
                <c:ptCount val="29"/>
                <c:pt idx="0">
                  <c:v>0.48099999999999998</c:v>
                </c:pt>
                <c:pt idx="1">
                  <c:v>0.56599999999999995</c:v>
                </c:pt>
                <c:pt idx="2">
                  <c:v>0.51</c:v>
                </c:pt>
                <c:pt idx="3">
                  <c:v>0.27800000000000002</c:v>
                </c:pt>
                <c:pt idx="4">
                  <c:v>0.5</c:v>
                </c:pt>
                <c:pt idx="5">
                  <c:v>0.56699999999999995</c:v>
                </c:pt>
                <c:pt idx="6">
                  <c:v>0.48199999999999998</c:v>
                </c:pt>
                <c:pt idx="7">
                  <c:v>0.5</c:v>
                </c:pt>
                <c:pt idx="8">
                  <c:v>0.2</c:v>
                </c:pt>
                <c:pt idx="9">
                  <c:v>0.25600000000000001</c:v>
                </c:pt>
                <c:pt idx="10">
                  <c:v>0.47499999999999998</c:v>
                </c:pt>
                <c:pt idx="11">
                  <c:v>0.2</c:v>
                </c:pt>
                <c:pt idx="12">
                  <c:v>0.45500000000000002</c:v>
                </c:pt>
                <c:pt idx="13">
                  <c:v>0.51</c:v>
                </c:pt>
                <c:pt idx="14">
                  <c:v>0.5</c:v>
                </c:pt>
                <c:pt idx="15">
                  <c:v>0.25600000000000001</c:v>
                </c:pt>
                <c:pt idx="16">
                  <c:v>0.73</c:v>
                </c:pt>
                <c:pt idx="17">
                  <c:v>0.73</c:v>
                </c:pt>
                <c:pt idx="18">
                  <c:v>0.79300000000000004</c:v>
                </c:pt>
                <c:pt idx="19">
                  <c:v>0.79300000000000004</c:v>
                </c:pt>
                <c:pt idx="20">
                  <c:v>3.8</c:v>
                </c:pt>
                <c:pt idx="21">
                  <c:v>1.89</c:v>
                </c:pt>
                <c:pt idx="26">
                  <c:v>0.41399999999999998</c:v>
                </c:pt>
              </c:numCache>
            </c:numRef>
          </c:xVal>
          <c:yVal>
            <c:numRef>
              <c:f>'P-0410 Sriracha'!$H$2:$H$30</c:f>
              <c:numCache>
                <c:formatCode>_("$"* #,##0.00_);_("$"* \(#,##0.00\);_("$"* "-"??_);_(@_)</c:formatCode>
                <c:ptCount val="29"/>
                <c:pt idx="0">
                  <c:v>151.76715176715177</c:v>
                </c:pt>
                <c:pt idx="1">
                  <c:v>227.91519434628978</c:v>
                </c:pt>
                <c:pt idx="2">
                  <c:v>303.92156862745099</c:v>
                </c:pt>
                <c:pt idx="3">
                  <c:v>499.99999999999994</c:v>
                </c:pt>
                <c:pt idx="4">
                  <c:v>134.30000000000001</c:v>
                </c:pt>
                <c:pt idx="5">
                  <c:v>239.85890652557322</c:v>
                </c:pt>
                <c:pt idx="6">
                  <c:v>265.56016597510376</c:v>
                </c:pt>
                <c:pt idx="7">
                  <c:v>100</c:v>
                </c:pt>
                <c:pt idx="8">
                  <c:v>335</c:v>
                </c:pt>
                <c:pt idx="9">
                  <c:v>328.125</c:v>
                </c:pt>
                <c:pt idx="10">
                  <c:v>168.42105263157896</c:v>
                </c:pt>
                <c:pt idx="11">
                  <c:v>395</c:v>
                </c:pt>
                <c:pt idx="12">
                  <c:v>265.93406593406593</c:v>
                </c:pt>
                <c:pt idx="13">
                  <c:v>319.60784313725492</c:v>
                </c:pt>
                <c:pt idx="14">
                  <c:v>96</c:v>
                </c:pt>
                <c:pt idx="15">
                  <c:v>351.5625</c:v>
                </c:pt>
                <c:pt idx="16">
                  <c:v>164.24657534246577</c:v>
                </c:pt>
                <c:pt idx="17">
                  <c:v>180.68493150684932</c:v>
                </c:pt>
                <c:pt idx="18">
                  <c:v>166.45649432534677</c:v>
                </c:pt>
                <c:pt idx="19">
                  <c:v>151.32408575031525</c:v>
                </c:pt>
                <c:pt idx="20">
                  <c:v>73.684210526315795</c:v>
                </c:pt>
                <c:pt idx="21">
                  <c:v>152.38095238095238</c:v>
                </c:pt>
                <c:pt idx="26">
                  <c:v>91.787439613526573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C-094F-A3CB-0DD2B39A81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'P-0410 Sriracha'!$E$31:$E$33</c:f>
              <c:numCache>
                <c:formatCode>General</c:formatCode>
                <c:ptCount val="3"/>
                <c:pt idx="0">
                  <c:v>3.78</c:v>
                </c:pt>
                <c:pt idx="1">
                  <c:v>0.94599999999999995</c:v>
                </c:pt>
                <c:pt idx="2">
                  <c:v>0.41399999999999998</c:v>
                </c:pt>
              </c:numCache>
            </c:numRef>
          </c:xVal>
          <c:yVal>
            <c:numRef>
              <c:f>'P-0410 Sriracha'!$H$31:$H$33</c:f>
              <c:numCache>
                <c:formatCode>_("$"* #,##0.00_);_("$"* \(#,##0.00\);_("$"* "-"??_);_(@_)</c:formatCode>
                <c:ptCount val="3"/>
                <c:pt idx="0">
                  <c:v>87.807105350965017</c:v>
                </c:pt>
                <c:pt idx="1">
                  <c:v>107.69658641336997</c:v>
                </c:pt>
                <c:pt idx="2">
                  <c:v>139.43390844499334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2C-094F-A3CB-0DD2B39A8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818111"/>
        <c:axId val="1087180735"/>
      </c:scatterChart>
      <c:valAx>
        <c:axId val="108981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7180735"/>
        <c:crosses val="autoZero"/>
        <c:crossBetween val="midCat"/>
      </c:valAx>
      <c:valAx>
        <c:axId val="10871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8981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 </c:f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'P-0402 Soya'!$E$2:$E$55</c:f>
              <c:numCache>
                <c:formatCode>General</c:formatCode>
                <c:ptCount val="54"/>
                <c:pt idx="0">
                  <c:v>0.14499999999999999</c:v>
                </c:pt>
                <c:pt idx="1">
                  <c:v>0.14799999999999999</c:v>
                </c:pt>
                <c:pt idx="2">
                  <c:v>0.14799999999999999</c:v>
                </c:pt>
                <c:pt idx="3">
                  <c:v>0.15</c:v>
                </c:pt>
                <c:pt idx="4">
                  <c:v>0.17499999999999999</c:v>
                </c:pt>
                <c:pt idx="5">
                  <c:v>0.17499999999999999</c:v>
                </c:pt>
                <c:pt idx="6">
                  <c:v>0.28299999999999997</c:v>
                </c:pt>
                <c:pt idx="7">
                  <c:v>0.28999999999999998</c:v>
                </c:pt>
                <c:pt idx="8">
                  <c:v>0.28999999999999998</c:v>
                </c:pt>
                <c:pt idx="9">
                  <c:v>0.28999999999999998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0.29499999999999998</c:v>
                </c:pt>
                <c:pt idx="13">
                  <c:v>0.29599999999999999</c:v>
                </c:pt>
                <c:pt idx="14">
                  <c:v>0.29599999999999999</c:v>
                </c:pt>
                <c:pt idx="15">
                  <c:v>0.29599999999999999</c:v>
                </c:pt>
                <c:pt idx="16">
                  <c:v>0.29599999999999999</c:v>
                </c:pt>
                <c:pt idx="17">
                  <c:v>0.29599999999999999</c:v>
                </c:pt>
                <c:pt idx="18">
                  <c:v>0.29599999999999999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0.35</c:v>
                </c:pt>
                <c:pt idx="24">
                  <c:v>0.35499999999999998</c:v>
                </c:pt>
                <c:pt idx="25">
                  <c:v>0.35499999999999998</c:v>
                </c:pt>
                <c:pt idx="26">
                  <c:v>0.35499999999999998</c:v>
                </c:pt>
                <c:pt idx="27">
                  <c:v>0.35499999999999998</c:v>
                </c:pt>
                <c:pt idx="28">
                  <c:v>0.44400000000000001</c:v>
                </c:pt>
                <c:pt idx="29">
                  <c:v>0.44400000000000001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0.59099999999999997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1.8</c:v>
                </c:pt>
                <c:pt idx="46">
                  <c:v>1.89</c:v>
                </c:pt>
                <c:pt idx="47">
                  <c:v>1.89</c:v>
                </c:pt>
                <c:pt idx="48">
                  <c:v>2</c:v>
                </c:pt>
                <c:pt idx="49">
                  <c:v>3.78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20</c:v>
                </c:pt>
              </c:numCache>
            </c:numRef>
          </c:xVal>
          <c:yVal>
            <c:numRef>
              <c:f>'P-0402 Soya'!$F$2:$F$55</c:f>
              <c:numCache>
                <c:formatCode>_("$"* #,##0.0_);_("$"* \(#,##0.0\);_("$"* "-"??_);_(@_)</c:formatCode>
                <c:ptCount val="54"/>
                <c:pt idx="0">
                  <c:v>33.9</c:v>
                </c:pt>
                <c:pt idx="1">
                  <c:v>48.1</c:v>
                </c:pt>
                <c:pt idx="2">
                  <c:v>44</c:v>
                </c:pt>
                <c:pt idx="3">
                  <c:v>19.5</c:v>
                </c:pt>
                <c:pt idx="4">
                  <c:v>16</c:v>
                </c:pt>
                <c:pt idx="5">
                  <c:v>16</c:v>
                </c:pt>
                <c:pt idx="6">
                  <c:v>59</c:v>
                </c:pt>
                <c:pt idx="7">
                  <c:v>39</c:v>
                </c:pt>
                <c:pt idx="8">
                  <c:v>36</c:v>
                </c:pt>
                <c:pt idx="9">
                  <c:v>39</c:v>
                </c:pt>
                <c:pt idx="10">
                  <c:v>39</c:v>
                </c:pt>
                <c:pt idx="11">
                  <c:v>39.9</c:v>
                </c:pt>
                <c:pt idx="12">
                  <c:v>52</c:v>
                </c:pt>
                <c:pt idx="13">
                  <c:v>94</c:v>
                </c:pt>
                <c:pt idx="14">
                  <c:v>79.900000000000006</c:v>
                </c:pt>
                <c:pt idx="15">
                  <c:v>53.9</c:v>
                </c:pt>
                <c:pt idx="16">
                  <c:v>80</c:v>
                </c:pt>
                <c:pt idx="17">
                  <c:v>71</c:v>
                </c:pt>
                <c:pt idx="18">
                  <c:v>84</c:v>
                </c:pt>
                <c:pt idx="19">
                  <c:v>51</c:v>
                </c:pt>
                <c:pt idx="20">
                  <c:v>23</c:v>
                </c:pt>
                <c:pt idx="21">
                  <c:v>49</c:v>
                </c:pt>
                <c:pt idx="22">
                  <c:v>48</c:v>
                </c:pt>
                <c:pt idx="23">
                  <c:v>20</c:v>
                </c:pt>
                <c:pt idx="24">
                  <c:v>26</c:v>
                </c:pt>
                <c:pt idx="25">
                  <c:v>26</c:v>
                </c:pt>
                <c:pt idx="26">
                  <c:v>24</c:v>
                </c:pt>
                <c:pt idx="27">
                  <c:v>24</c:v>
                </c:pt>
                <c:pt idx="28">
                  <c:v>50</c:v>
                </c:pt>
                <c:pt idx="29">
                  <c:v>50</c:v>
                </c:pt>
                <c:pt idx="30">
                  <c:v>35</c:v>
                </c:pt>
                <c:pt idx="31">
                  <c:v>85</c:v>
                </c:pt>
                <c:pt idx="32">
                  <c:v>80</c:v>
                </c:pt>
                <c:pt idx="33">
                  <c:v>35</c:v>
                </c:pt>
                <c:pt idx="34">
                  <c:v>85</c:v>
                </c:pt>
                <c:pt idx="35">
                  <c:v>89</c:v>
                </c:pt>
                <c:pt idx="36">
                  <c:v>83.9</c:v>
                </c:pt>
                <c:pt idx="37">
                  <c:v>131.96</c:v>
                </c:pt>
                <c:pt idx="38">
                  <c:v>28</c:v>
                </c:pt>
                <c:pt idx="39">
                  <c:v>46.5</c:v>
                </c:pt>
                <c:pt idx="40">
                  <c:v>46</c:v>
                </c:pt>
                <c:pt idx="41">
                  <c:v>59.5</c:v>
                </c:pt>
                <c:pt idx="42">
                  <c:v>49</c:v>
                </c:pt>
                <c:pt idx="43">
                  <c:v>44</c:v>
                </c:pt>
                <c:pt idx="44">
                  <c:v>166</c:v>
                </c:pt>
                <c:pt idx="45">
                  <c:v>175</c:v>
                </c:pt>
                <c:pt idx="46">
                  <c:v>329</c:v>
                </c:pt>
                <c:pt idx="47">
                  <c:v>282</c:v>
                </c:pt>
                <c:pt idx="48">
                  <c:v>258.81</c:v>
                </c:pt>
                <c:pt idx="49">
                  <c:v>322</c:v>
                </c:pt>
                <c:pt idx="50">
                  <c:v>114</c:v>
                </c:pt>
                <c:pt idx="51">
                  <c:v>143</c:v>
                </c:pt>
                <c:pt idx="52">
                  <c:v>158</c:v>
                </c:pt>
                <c:pt idx="53">
                  <c:v>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5-5B44-AD7F-0EF2D9BE0B1A}"/>
            </c:ext>
          </c:extLst>
        </c:ser>
        <c:ser>
          <c:idx val="1"/>
          <c:order val="1"/>
          <c:tx>
            <c:strRef>
              <c:f>'P-0402 Soya'!$A$56</c:f>
              <c:strCache>
                <c:ptCount val="1"/>
                <c:pt idx="0">
                  <c:v>Takumi-Ichi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'P-0402 Soya'!$E$56:$E$59</c:f>
              <c:numCache>
                <c:formatCode>General</c:formatCode>
                <c:ptCount val="4"/>
                <c:pt idx="0">
                  <c:v>3.78</c:v>
                </c:pt>
                <c:pt idx="1">
                  <c:v>20</c:v>
                </c:pt>
                <c:pt idx="2">
                  <c:v>0.94599999999999995</c:v>
                </c:pt>
                <c:pt idx="3">
                  <c:v>0.41399999999999998</c:v>
                </c:pt>
              </c:numCache>
            </c:numRef>
          </c:xVal>
          <c:yVal>
            <c:numRef>
              <c:f>'P-0402 Soya'!$F$56:$F$59</c:f>
              <c:numCache>
                <c:formatCode>_("$"* #,##0.0_);_("$"* \(#,##0.0\);_("$"* "-"??_);_(@_)</c:formatCode>
                <c:ptCount val="4"/>
                <c:pt idx="0">
                  <c:v>114.75014377510041</c:v>
                </c:pt>
                <c:pt idx="1">
                  <c:v>529.03998974621891</c:v>
                </c:pt>
                <c:pt idx="2">
                  <c:v>56.272061535219429</c:v>
                </c:pt>
                <c:pt idx="3">
                  <c:v>35.137284736150491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2-8749-A0D3-ED00E85B1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806207"/>
        <c:axId val="1269803071"/>
      </c:scatterChart>
      <c:valAx>
        <c:axId val="126980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69803071"/>
        <c:crosses val="autoZero"/>
        <c:crossBetween val="midCat"/>
      </c:valAx>
      <c:valAx>
        <c:axId val="126980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6980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 </c:f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'P-0402 Soya'!$E$2:$E$55</c:f>
              <c:numCache>
                <c:formatCode>General</c:formatCode>
                <c:ptCount val="54"/>
                <c:pt idx="0">
                  <c:v>0.14499999999999999</c:v>
                </c:pt>
                <c:pt idx="1">
                  <c:v>0.14799999999999999</c:v>
                </c:pt>
                <c:pt idx="2">
                  <c:v>0.14799999999999999</c:v>
                </c:pt>
                <c:pt idx="3">
                  <c:v>0.15</c:v>
                </c:pt>
                <c:pt idx="4">
                  <c:v>0.17499999999999999</c:v>
                </c:pt>
                <c:pt idx="5">
                  <c:v>0.17499999999999999</c:v>
                </c:pt>
                <c:pt idx="6">
                  <c:v>0.28299999999999997</c:v>
                </c:pt>
                <c:pt idx="7">
                  <c:v>0.28999999999999998</c:v>
                </c:pt>
                <c:pt idx="8">
                  <c:v>0.28999999999999998</c:v>
                </c:pt>
                <c:pt idx="9">
                  <c:v>0.28999999999999998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0.29499999999999998</c:v>
                </c:pt>
                <c:pt idx="13">
                  <c:v>0.29599999999999999</c:v>
                </c:pt>
                <c:pt idx="14">
                  <c:v>0.29599999999999999</c:v>
                </c:pt>
                <c:pt idx="15">
                  <c:v>0.29599999999999999</c:v>
                </c:pt>
                <c:pt idx="16">
                  <c:v>0.29599999999999999</c:v>
                </c:pt>
                <c:pt idx="17">
                  <c:v>0.29599999999999999</c:v>
                </c:pt>
                <c:pt idx="18">
                  <c:v>0.29599999999999999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0.35</c:v>
                </c:pt>
                <c:pt idx="24">
                  <c:v>0.35499999999999998</c:v>
                </c:pt>
                <c:pt idx="25">
                  <c:v>0.35499999999999998</c:v>
                </c:pt>
                <c:pt idx="26">
                  <c:v>0.35499999999999998</c:v>
                </c:pt>
                <c:pt idx="27">
                  <c:v>0.35499999999999998</c:v>
                </c:pt>
                <c:pt idx="28">
                  <c:v>0.44400000000000001</c:v>
                </c:pt>
                <c:pt idx="29">
                  <c:v>0.44400000000000001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0.59099999999999997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1.8</c:v>
                </c:pt>
                <c:pt idx="46">
                  <c:v>1.89</c:v>
                </c:pt>
                <c:pt idx="47">
                  <c:v>1.89</c:v>
                </c:pt>
                <c:pt idx="48">
                  <c:v>2</c:v>
                </c:pt>
                <c:pt idx="49">
                  <c:v>3.78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20</c:v>
                </c:pt>
              </c:numCache>
            </c:numRef>
          </c:xVal>
          <c:yVal>
            <c:numRef>
              <c:f>'P-0402 Soya'!$H$2:$H$55</c:f>
              <c:numCache>
                <c:formatCode>_("$"* #,##0.00_);_("$"* \(#,##0.00\);_("$"* "-"??_);_(@_)</c:formatCode>
                <c:ptCount val="54"/>
                <c:pt idx="0">
                  <c:v>233.79310344827587</c:v>
                </c:pt>
                <c:pt idx="1">
                  <c:v>325</c:v>
                </c:pt>
                <c:pt idx="2">
                  <c:v>297.29729729729729</c:v>
                </c:pt>
                <c:pt idx="3">
                  <c:v>130</c:v>
                </c:pt>
                <c:pt idx="4">
                  <c:v>91.428571428571431</c:v>
                </c:pt>
                <c:pt idx="5">
                  <c:v>91.428571428571431</c:v>
                </c:pt>
                <c:pt idx="6">
                  <c:v>208.48056537102477</c:v>
                </c:pt>
                <c:pt idx="7">
                  <c:v>134.48275862068965</c:v>
                </c:pt>
                <c:pt idx="8">
                  <c:v>124.13793103448276</c:v>
                </c:pt>
                <c:pt idx="9">
                  <c:v>134.48275862068965</c:v>
                </c:pt>
                <c:pt idx="10">
                  <c:v>134.48275862068965</c:v>
                </c:pt>
                <c:pt idx="11">
                  <c:v>137.58620689655172</c:v>
                </c:pt>
                <c:pt idx="12">
                  <c:v>176.27118644067798</c:v>
                </c:pt>
                <c:pt idx="13">
                  <c:v>317.56756756756761</c:v>
                </c:pt>
                <c:pt idx="14">
                  <c:v>269.93243243243245</c:v>
                </c:pt>
                <c:pt idx="15">
                  <c:v>182.09459459459461</c:v>
                </c:pt>
                <c:pt idx="16">
                  <c:v>270.27027027027026</c:v>
                </c:pt>
                <c:pt idx="17">
                  <c:v>239.86486486486487</c:v>
                </c:pt>
                <c:pt idx="18">
                  <c:v>283.7837837837838</c:v>
                </c:pt>
                <c:pt idx="19">
                  <c:v>170</c:v>
                </c:pt>
                <c:pt idx="20">
                  <c:v>76.666666666666671</c:v>
                </c:pt>
                <c:pt idx="21">
                  <c:v>163.33333333333334</c:v>
                </c:pt>
                <c:pt idx="22">
                  <c:v>160</c:v>
                </c:pt>
                <c:pt idx="23">
                  <c:v>57.142857142857146</c:v>
                </c:pt>
                <c:pt idx="24">
                  <c:v>73.239436619718319</c:v>
                </c:pt>
                <c:pt idx="25">
                  <c:v>73.239436619718319</c:v>
                </c:pt>
                <c:pt idx="26">
                  <c:v>67.605633802816911</c:v>
                </c:pt>
                <c:pt idx="27">
                  <c:v>67.605633802816911</c:v>
                </c:pt>
                <c:pt idx="28">
                  <c:v>112.61261261261261</c:v>
                </c:pt>
                <c:pt idx="29">
                  <c:v>112.61261261261261</c:v>
                </c:pt>
                <c:pt idx="30">
                  <c:v>70</c:v>
                </c:pt>
                <c:pt idx="31">
                  <c:v>170</c:v>
                </c:pt>
                <c:pt idx="32">
                  <c:v>160</c:v>
                </c:pt>
                <c:pt idx="33">
                  <c:v>70</c:v>
                </c:pt>
                <c:pt idx="34">
                  <c:v>170</c:v>
                </c:pt>
                <c:pt idx="35">
                  <c:v>178</c:v>
                </c:pt>
                <c:pt idx="36">
                  <c:v>167.8</c:v>
                </c:pt>
                <c:pt idx="37">
                  <c:v>223.28257191201357</c:v>
                </c:pt>
                <c:pt idx="38">
                  <c:v>28</c:v>
                </c:pt>
                <c:pt idx="39">
                  <c:v>46.5</c:v>
                </c:pt>
                <c:pt idx="40">
                  <c:v>46</c:v>
                </c:pt>
                <c:pt idx="41">
                  <c:v>59.5</c:v>
                </c:pt>
                <c:pt idx="42">
                  <c:v>49</c:v>
                </c:pt>
                <c:pt idx="43">
                  <c:v>44</c:v>
                </c:pt>
                <c:pt idx="44">
                  <c:v>166</c:v>
                </c:pt>
                <c:pt idx="45">
                  <c:v>97.222222222222214</c:v>
                </c:pt>
                <c:pt idx="46">
                  <c:v>174.07407407407408</c:v>
                </c:pt>
                <c:pt idx="47">
                  <c:v>149.20634920634922</c:v>
                </c:pt>
                <c:pt idx="48">
                  <c:v>129.405</c:v>
                </c:pt>
                <c:pt idx="49">
                  <c:v>85.18518518518519</c:v>
                </c:pt>
                <c:pt idx="50">
                  <c:v>22.8</c:v>
                </c:pt>
                <c:pt idx="51">
                  <c:v>28.6</c:v>
                </c:pt>
                <c:pt idx="52">
                  <c:v>31.6</c:v>
                </c:pt>
                <c:pt idx="53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F-514F-BB9D-BFA5849B23BF}"/>
            </c:ext>
          </c:extLst>
        </c:ser>
        <c:ser>
          <c:idx val="1"/>
          <c:order val="1"/>
          <c:tx>
            <c:strRef>
              <c:f>'P-0402 Soya'!$A$56</c:f>
              <c:strCache>
                <c:ptCount val="1"/>
                <c:pt idx="0">
                  <c:v>Takumi-Ichi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'P-0402 Soya'!$E$56:$E$59</c:f>
              <c:numCache>
                <c:formatCode>General</c:formatCode>
                <c:ptCount val="4"/>
                <c:pt idx="0">
                  <c:v>3.78</c:v>
                </c:pt>
                <c:pt idx="1">
                  <c:v>20</c:v>
                </c:pt>
                <c:pt idx="2">
                  <c:v>0.94599999999999995</c:v>
                </c:pt>
                <c:pt idx="3">
                  <c:v>0.41399999999999998</c:v>
                </c:pt>
              </c:numCache>
            </c:numRef>
          </c:xVal>
          <c:yVal>
            <c:numRef>
              <c:f>'P-0402 Soya'!$H$56:$H$59</c:f>
              <c:numCache>
                <c:formatCode>_("$"* #,##0.00_);_("$"* \(#,##0.00\);_("$"* "-"??_);_(@_)</c:formatCode>
                <c:ptCount val="4"/>
                <c:pt idx="0">
                  <c:v>30.357180892883708</c:v>
                </c:pt>
                <c:pt idx="1">
                  <c:v>26.451999487310946</c:v>
                </c:pt>
                <c:pt idx="2">
                  <c:v>59.484208811014199</c:v>
                </c:pt>
                <c:pt idx="3">
                  <c:v>84.872668444807957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4B-824A-AE0A-E2D423A46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638847"/>
        <c:axId val="467640639"/>
      </c:scatterChart>
      <c:valAx>
        <c:axId val="46763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467640639"/>
        <c:crosses val="autoZero"/>
        <c:crossBetween val="midCat"/>
      </c:valAx>
      <c:valAx>
        <c:axId val="4676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46763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355600</xdr:colOff>
      <xdr:row>4</xdr:row>
      <xdr:rowOff>133350</xdr:rowOff>
    </xdr:from>
    <xdr:to>
      <xdr:col>22</xdr:col>
      <xdr:colOff>736600</xdr:colOff>
      <xdr:row>38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34A31-CAB1-15C0-B4CA-709AF7D2F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698500</xdr:colOff>
      <xdr:row>38</xdr:row>
      <xdr:rowOff>171450</xdr:rowOff>
    </xdr:from>
    <xdr:to>
      <xdr:col>22</xdr:col>
      <xdr:colOff>254000</xdr:colOff>
      <xdr:row>73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D231F-93C5-677C-7B2A-3056F1BEB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3</xdr:row>
      <xdr:rowOff>152400</xdr:rowOff>
    </xdr:from>
    <xdr:to>
      <xdr:col>25</xdr:col>
      <xdr:colOff>520700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2D8B6-4B8E-20F0-C482-9E67FB48C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800100</xdr:colOff>
      <xdr:row>48</xdr:row>
      <xdr:rowOff>25400</xdr:rowOff>
    </xdr:from>
    <xdr:to>
      <xdr:col>25</xdr:col>
      <xdr:colOff>101600</xdr:colOff>
      <xdr:row>91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B76A8-D2EF-D94C-8A7C-8EB0B81E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736600</xdr:colOff>
      <xdr:row>2</xdr:row>
      <xdr:rowOff>12700</xdr:rowOff>
    </xdr:from>
    <xdr:to>
      <xdr:col>25</xdr:col>
      <xdr:colOff>584200</xdr:colOff>
      <xdr:row>45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23153-22DB-916C-B60C-1C1A92548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47</xdr:row>
      <xdr:rowOff>0</xdr:rowOff>
    </xdr:from>
    <xdr:to>
      <xdr:col>25</xdr:col>
      <xdr:colOff>673100</xdr:colOff>
      <xdr:row>92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0B0AEB-B3F5-984B-8BE1-B5605B1A7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1</xdr:row>
      <xdr:rowOff>63500</xdr:rowOff>
    </xdr:from>
    <xdr:to>
      <xdr:col>26</xdr:col>
      <xdr:colOff>381000</xdr:colOff>
      <xdr:row>47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E19FA-EDD8-0ED3-ECB7-F8D6DA80F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51</xdr:row>
      <xdr:rowOff>0</xdr:rowOff>
    </xdr:from>
    <xdr:to>
      <xdr:col>26</xdr:col>
      <xdr:colOff>279400</xdr:colOff>
      <xdr:row>98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EFB262-76C0-284C-A2D8-863293F0A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635000</xdr:colOff>
      <xdr:row>1</xdr:row>
      <xdr:rowOff>0</xdr:rowOff>
    </xdr:from>
    <xdr:to>
      <xdr:col>22</xdr:col>
      <xdr:colOff>582706</xdr:colOff>
      <xdr:row>43</xdr:row>
      <xdr:rowOff>14941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D2310-BBF1-B455-4958-B4499F715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627529</xdr:colOff>
      <xdr:row>43</xdr:row>
      <xdr:rowOff>62752</xdr:rowOff>
    </xdr:from>
    <xdr:to>
      <xdr:col>22</xdr:col>
      <xdr:colOff>552823</xdr:colOff>
      <xdr:row>71</xdr:row>
      <xdr:rowOff>119528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01BCA-FEE9-0A52-4DB1-A7DA59BD4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C2C0-7A89-B946-8508-A8CE4DC56642}">
  <dimension ref="A1:F30"/>
  <sheetViews>
    <sheetView workbookViewId="0">
      <selection activeCell="F2" sqref="F2"/>
    </sheetView>
  </sheetViews>
  <sheetFormatPr baseColWidth="10" defaultRowHeight="15" x14ac:dyDescent="0.2"/>
  <cols>
    <col min="2" max="2" width="17.33203125" bestFit="1" customWidth="1"/>
    <col min="3" max="3" width="13.5" bestFit="1" customWidth="1"/>
    <col min="4" max="5" width="23" bestFit="1" customWidth="1"/>
  </cols>
  <sheetData>
    <row r="1" spans="1:6" x14ac:dyDescent="0.2">
      <c r="A1" t="s">
        <v>185</v>
      </c>
      <c r="B1" t="s">
        <v>1</v>
      </c>
      <c r="C1" t="s">
        <v>189</v>
      </c>
      <c r="D1" t="s">
        <v>186</v>
      </c>
      <c r="E1" t="s">
        <v>187</v>
      </c>
      <c r="F1" t="s">
        <v>188</v>
      </c>
    </row>
    <row r="2" spans="1:6" x14ac:dyDescent="0.2">
      <c r="A2" t="s">
        <v>138</v>
      </c>
      <c r="B2" t="s">
        <v>157</v>
      </c>
      <c r="C2" t="s">
        <v>190</v>
      </c>
      <c r="D2" t="s">
        <v>191</v>
      </c>
      <c r="E2" s="19">
        <v>1</v>
      </c>
    </row>
    <row r="3" spans="1:6" x14ac:dyDescent="0.2">
      <c r="A3" t="s">
        <v>138</v>
      </c>
      <c r="B3" t="s">
        <v>158</v>
      </c>
      <c r="C3" t="s">
        <v>190</v>
      </c>
      <c r="D3" t="s">
        <v>191</v>
      </c>
      <c r="E3" s="19">
        <v>1</v>
      </c>
    </row>
    <row r="4" spans="1:6" x14ac:dyDescent="0.2">
      <c r="A4" t="s">
        <v>138</v>
      </c>
      <c r="B4" t="s">
        <v>159</v>
      </c>
      <c r="C4" t="s">
        <v>190</v>
      </c>
      <c r="D4" t="s">
        <v>191</v>
      </c>
      <c r="E4" s="19">
        <v>1</v>
      </c>
    </row>
    <row r="5" spans="1:6" x14ac:dyDescent="0.2">
      <c r="A5" t="s">
        <v>139</v>
      </c>
      <c r="B5" t="s">
        <v>154</v>
      </c>
      <c r="C5" t="s">
        <v>190</v>
      </c>
      <c r="D5" t="s">
        <v>191</v>
      </c>
      <c r="E5" s="19">
        <v>1</v>
      </c>
    </row>
    <row r="6" spans="1:6" x14ac:dyDescent="0.2">
      <c r="A6" t="s">
        <v>139</v>
      </c>
      <c r="B6" t="s">
        <v>155</v>
      </c>
      <c r="C6" t="s">
        <v>190</v>
      </c>
      <c r="D6" t="s">
        <v>191</v>
      </c>
      <c r="E6" s="19">
        <v>1</v>
      </c>
    </row>
    <row r="7" spans="1:6" x14ac:dyDescent="0.2">
      <c r="A7" t="s">
        <v>139</v>
      </c>
      <c r="B7" t="s">
        <v>156</v>
      </c>
      <c r="C7" t="s">
        <v>190</v>
      </c>
      <c r="D7" t="s">
        <v>191</v>
      </c>
      <c r="E7" s="19">
        <v>1</v>
      </c>
    </row>
    <row r="8" spans="1:6" x14ac:dyDescent="0.2">
      <c r="A8" t="s">
        <v>141</v>
      </c>
      <c r="B8" t="s">
        <v>145</v>
      </c>
      <c r="C8" t="s">
        <v>190</v>
      </c>
      <c r="D8" t="s">
        <v>191</v>
      </c>
      <c r="E8" s="19">
        <v>1</v>
      </c>
    </row>
    <row r="9" spans="1:6" x14ac:dyDescent="0.2">
      <c r="A9" t="s">
        <v>141</v>
      </c>
      <c r="B9" t="s">
        <v>137</v>
      </c>
      <c r="C9" t="s">
        <v>190</v>
      </c>
      <c r="D9" t="s">
        <v>191</v>
      </c>
      <c r="E9" s="19">
        <v>1</v>
      </c>
    </row>
    <row r="10" spans="1:6" x14ac:dyDescent="0.2">
      <c r="A10" t="s">
        <v>141</v>
      </c>
      <c r="B10" t="s">
        <v>143</v>
      </c>
      <c r="C10" t="s">
        <v>190</v>
      </c>
      <c r="D10" t="s">
        <v>191</v>
      </c>
      <c r="E10" s="19">
        <v>1</v>
      </c>
    </row>
    <row r="11" spans="1:6" x14ac:dyDescent="0.2">
      <c r="A11" t="s">
        <v>141</v>
      </c>
      <c r="B11" t="s">
        <v>144</v>
      </c>
      <c r="C11" t="s">
        <v>190</v>
      </c>
      <c r="D11" t="s">
        <v>191</v>
      </c>
      <c r="E11" s="19">
        <v>1</v>
      </c>
    </row>
    <row r="12" spans="1:6" x14ac:dyDescent="0.2">
      <c r="A12" t="s">
        <v>140</v>
      </c>
      <c r="B12" t="s">
        <v>163</v>
      </c>
      <c r="C12" t="s">
        <v>190</v>
      </c>
      <c r="D12" t="s">
        <v>191</v>
      </c>
      <c r="E12" s="19">
        <v>1</v>
      </c>
    </row>
    <row r="13" spans="1:6" x14ac:dyDescent="0.2">
      <c r="A13" t="s">
        <v>140</v>
      </c>
      <c r="B13" t="s">
        <v>164</v>
      </c>
      <c r="C13" t="s">
        <v>190</v>
      </c>
      <c r="D13" t="s">
        <v>191</v>
      </c>
      <c r="E13" s="19">
        <v>1</v>
      </c>
    </row>
    <row r="14" spans="1:6" x14ac:dyDescent="0.2">
      <c r="A14" t="s">
        <v>140</v>
      </c>
      <c r="B14" t="s">
        <v>165</v>
      </c>
      <c r="C14" t="s">
        <v>190</v>
      </c>
      <c r="D14" t="s">
        <v>191</v>
      </c>
      <c r="E14" s="19">
        <v>1</v>
      </c>
    </row>
    <row r="15" spans="1:6" x14ac:dyDescent="0.2">
      <c r="A15" t="s">
        <v>142</v>
      </c>
      <c r="B15" t="s">
        <v>146</v>
      </c>
      <c r="C15" t="s">
        <v>190</v>
      </c>
      <c r="D15" t="s">
        <v>191</v>
      </c>
      <c r="E15" s="19">
        <v>1</v>
      </c>
    </row>
    <row r="16" spans="1:6" x14ac:dyDescent="0.2">
      <c r="A16" t="s">
        <v>142</v>
      </c>
      <c r="B16" t="s">
        <v>147</v>
      </c>
      <c r="C16" t="s">
        <v>190</v>
      </c>
      <c r="D16" t="s">
        <v>191</v>
      </c>
      <c r="E16" s="19">
        <v>1</v>
      </c>
    </row>
    <row r="17" spans="1:5" x14ac:dyDescent="0.2">
      <c r="A17" t="s">
        <v>142</v>
      </c>
      <c r="B17" t="s">
        <v>148</v>
      </c>
      <c r="C17" t="s">
        <v>190</v>
      </c>
      <c r="D17" t="s">
        <v>191</v>
      </c>
      <c r="E17" s="19">
        <v>1</v>
      </c>
    </row>
    <row r="18" spans="1:5" x14ac:dyDescent="0.2">
      <c r="A18" t="s">
        <v>166</v>
      </c>
      <c r="B18" t="s">
        <v>172</v>
      </c>
      <c r="C18" t="s">
        <v>190</v>
      </c>
      <c r="D18" t="s">
        <v>191</v>
      </c>
      <c r="E18" s="19">
        <v>1</v>
      </c>
    </row>
    <row r="19" spans="1:5" x14ac:dyDescent="0.2">
      <c r="A19" t="s">
        <v>166</v>
      </c>
      <c r="B19" t="s">
        <v>173</v>
      </c>
      <c r="C19" t="s">
        <v>190</v>
      </c>
      <c r="D19" t="s">
        <v>191</v>
      </c>
      <c r="E19" s="19">
        <v>1</v>
      </c>
    </row>
    <row r="20" spans="1:5" x14ac:dyDescent="0.2">
      <c r="A20" t="s">
        <v>166</v>
      </c>
      <c r="B20" t="s">
        <v>174</v>
      </c>
      <c r="C20" t="s">
        <v>190</v>
      </c>
      <c r="D20" t="s">
        <v>191</v>
      </c>
      <c r="E20" s="19">
        <v>1</v>
      </c>
    </row>
    <row r="21" spans="1:5" x14ac:dyDescent="0.2">
      <c r="A21" t="s">
        <v>167</v>
      </c>
      <c r="B21" t="s">
        <v>175</v>
      </c>
      <c r="C21" t="s">
        <v>190</v>
      </c>
      <c r="D21" t="s">
        <v>191</v>
      </c>
      <c r="E21" s="19">
        <v>1</v>
      </c>
    </row>
    <row r="22" spans="1:5" x14ac:dyDescent="0.2">
      <c r="A22" t="s">
        <v>167</v>
      </c>
      <c r="B22" t="s">
        <v>176</v>
      </c>
      <c r="C22" t="s">
        <v>190</v>
      </c>
      <c r="D22" t="s">
        <v>191</v>
      </c>
      <c r="E22" s="19">
        <v>1</v>
      </c>
    </row>
    <row r="23" spans="1:5" x14ac:dyDescent="0.2">
      <c r="A23" t="s">
        <v>167</v>
      </c>
      <c r="B23" t="s">
        <v>177</v>
      </c>
      <c r="C23" t="s">
        <v>190</v>
      </c>
      <c r="D23" t="s">
        <v>191</v>
      </c>
      <c r="E23" s="19">
        <v>1</v>
      </c>
    </row>
    <row r="24" spans="1:5" x14ac:dyDescent="0.2">
      <c r="A24" t="s">
        <v>167</v>
      </c>
      <c r="B24" t="s">
        <v>178</v>
      </c>
      <c r="C24" t="s">
        <v>190</v>
      </c>
      <c r="D24" t="s">
        <v>191</v>
      </c>
      <c r="E24" s="19">
        <v>1</v>
      </c>
    </row>
    <row r="25" spans="1:5" x14ac:dyDescent="0.2">
      <c r="A25" t="s">
        <v>168</v>
      </c>
      <c r="B25" t="s">
        <v>179</v>
      </c>
      <c r="C25" t="s">
        <v>190</v>
      </c>
      <c r="D25" t="s">
        <v>191</v>
      </c>
      <c r="E25" s="19">
        <v>1</v>
      </c>
    </row>
    <row r="26" spans="1:5" x14ac:dyDescent="0.2">
      <c r="A26" t="s">
        <v>168</v>
      </c>
      <c r="B26" t="s">
        <v>180</v>
      </c>
      <c r="C26" t="s">
        <v>190</v>
      </c>
      <c r="D26" t="s">
        <v>191</v>
      </c>
      <c r="E26" s="19">
        <v>1</v>
      </c>
    </row>
    <row r="27" spans="1:5" x14ac:dyDescent="0.2">
      <c r="A27" t="s">
        <v>168</v>
      </c>
      <c r="B27" t="s">
        <v>181</v>
      </c>
      <c r="C27" t="s">
        <v>190</v>
      </c>
      <c r="D27" t="s">
        <v>191</v>
      </c>
      <c r="E27" s="19">
        <v>1</v>
      </c>
    </row>
    <row r="28" spans="1:5" x14ac:dyDescent="0.2">
      <c r="A28" t="s">
        <v>169</v>
      </c>
      <c r="B28" t="s">
        <v>182</v>
      </c>
      <c r="C28" t="s">
        <v>190</v>
      </c>
      <c r="D28" t="s">
        <v>191</v>
      </c>
      <c r="E28" s="19">
        <v>1</v>
      </c>
    </row>
    <row r="29" spans="1:5" x14ac:dyDescent="0.2">
      <c r="A29" t="s">
        <v>169</v>
      </c>
      <c r="B29" t="s">
        <v>183</v>
      </c>
      <c r="C29" t="s">
        <v>190</v>
      </c>
      <c r="D29" t="s">
        <v>191</v>
      </c>
      <c r="E29" s="19">
        <v>1</v>
      </c>
    </row>
    <row r="30" spans="1:5" x14ac:dyDescent="0.2">
      <c r="A30" t="s">
        <v>169</v>
      </c>
      <c r="B30" t="s">
        <v>184</v>
      </c>
      <c r="C30" t="s">
        <v>190</v>
      </c>
      <c r="D30" t="s">
        <v>191</v>
      </c>
      <c r="E30" s="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CE16-D796-CB45-AB53-2B8C61761EA2}">
  <sheetPr filterMode="1"/>
  <dimension ref="A1:AQ30"/>
  <sheetViews>
    <sheetView tabSelected="1" zoomScale="170" zoomScaleNormal="170" workbookViewId="0">
      <pane xSplit="5" ySplit="1" topLeftCell="AF2" activePane="bottomRight" state="frozen"/>
      <selection pane="topRight" activeCell="F1" sqref="F1"/>
      <selection pane="bottomLeft" activeCell="A2" sqref="A2"/>
      <selection pane="bottomRight" activeCell="AI2" sqref="AI2:AI30"/>
    </sheetView>
  </sheetViews>
  <sheetFormatPr baseColWidth="10" defaultColWidth="8.83203125" defaultRowHeight="15" x14ac:dyDescent="0.2"/>
  <cols>
    <col min="1" max="1" width="12.5" customWidth="1"/>
    <col min="2" max="2" width="14.33203125" hidden="1" customWidth="1"/>
    <col min="3" max="3" width="15" bestFit="1" customWidth="1"/>
    <col min="4" max="4" width="38.33203125" bestFit="1" customWidth="1"/>
    <col min="5" max="5" width="9.6640625" customWidth="1"/>
    <col min="6" max="6" width="10.1640625" style="1" customWidth="1"/>
    <col min="7" max="7" width="8.6640625" style="8" customWidth="1"/>
    <col min="8" max="8" width="8" style="1" customWidth="1"/>
    <col min="9" max="9" width="7.5" customWidth="1"/>
    <col min="10" max="10" width="11.1640625" style="7" bestFit="1" customWidth="1"/>
    <col min="11" max="11" width="10" style="4" customWidth="1"/>
    <col min="12" max="12" width="10.33203125" style="3" customWidth="1"/>
    <col min="13" max="13" width="4" style="3" customWidth="1"/>
    <col min="14" max="14" width="9.5" style="3" customWidth="1"/>
    <col min="15" max="16" width="12.33203125" style="3" customWidth="1"/>
    <col min="17" max="17" width="3.5" style="3" customWidth="1"/>
    <col min="18" max="19" width="12.33203125" style="3" customWidth="1"/>
    <col min="21" max="21" width="3" customWidth="1"/>
    <col min="22" max="27" width="0" hidden="1" customWidth="1"/>
    <col min="28" max="28" width="3.33203125" customWidth="1"/>
    <col min="29" max="30" width="10" customWidth="1"/>
    <col min="31" max="31" width="5" customWidth="1"/>
    <col min="35" max="35" width="10.6640625" bestFit="1" customWidth="1"/>
    <col min="37" max="37" width="3.33203125" customWidth="1"/>
  </cols>
  <sheetData>
    <row r="1" spans="1:43" s="2" customFormat="1" ht="64" x14ac:dyDescent="0.2">
      <c r="A1" s="11" t="s">
        <v>110</v>
      </c>
      <c r="B1" s="11" t="s">
        <v>0</v>
      </c>
      <c r="C1" s="11" t="s">
        <v>1</v>
      </c>
      <c r="D1" s="11" t="s">
        <v>2</v>
      </c>
      <c r="E1" s="11" t="s">
        <v>192</v>
      </c>
      <c r="F1" s="12" t="s">
        <v>111</v>
      </c>
      <c r="G1" s="13" t="s">
        <v>3</v>
      </c>
      <c r="H1" s="12" t="s">
        <v>112</v>
      </c>
      <c r="I1" s="2" t="s">
        <v>109</v>
      </c>
      <c r="J1" s="14" t="s">
        <v>113</v>
      </c>
      <c r="K1" s="15" t="s">
        <v>14</v>
      </c>
      <c r="L1" s="9" t="s">
        <v>114</v>
      </c>
      <c r="M1" s="9"/>
      <c r="N1" s="9" t="s">
        <v>119</v>
      </c>
      <c r="O1" s="9" t="s">
        <v>120</v>
      </c>
      <c r="P1" s="9" t="s">
        <v>121</v>
      </c>
      <c r="Q1" s="9"/>
      <c r="R1" s="2" t="s">
        <v>124</v>
      </c>
      <c r="S1" s="2" t="s">
        <v>125</v>
      </c>
      <c r="T1" s="2" t="s">
        <v>123</v>
      </c>
      <c r="V1" s="2" t="s">
        <v>127</v>
      </c>
      <c r="W1" s="2" t="s">
        <v>128</v>
      </c>
      <c r="X1" s="2" t="s">
        <v>126</v>
      </c>
      <c r="Y1" s="2" t="s">
        <v>130</v>
      </c>
      <c r="Z1" s="2" t="s">
        <v>131</v>
      </c>
      <c r="AA1" s="2" t="s">
        <v>129</v>
      </c>
      <c r="AC1" s="2" t="s">
        <v>150</v>
      </c>
      <c r="AD1" s="2" t="s">
        <v>151</v>
      </c>
      <c r="AF1" s="2" t="s">
        <v>171</v>
      </c>
      <c r="AG1" s="2" t="s">
        <v>170</v>
      </c>
      <c r="AH1" s="2" t="s">
        <v>149</v>
      </c>
      <c r="AI1" s="2" t="s">
        <v>133</v>
      </c>
      <c r="AJ1" s="2" t="s">
        <v>162</v>
      </c>
      <c r="AL1" s="2" t="s">
        <v>135</v>
      </c>
      <c r="AM1" s="2" t="s">
        <v>134</v>
      </c>
      <c r="AN1" s="2" t="s">
        <v>136</v>
      </c>
      <c r="AP1" s="2" t="s">
        <v>152</v>
      </c>
      <c r="AQ1" s="2" t="s">
        <v>153</v>
      </c>
    </row>
    <row r="2" spans="1:43" s="20" customFormat="1" x14ac:dyDescent="0.2">
      <c r="A2" s="20" t="s">
        <v>138</v>
      </c>
      <c r="B2" s="20" t="s">
        <v>6</v>
      </c>
      <c r="C2" s="20" t="str">
        <f>_xlfn.TEXTJOIN("-",1,A2,F2)</f>
        <v>Teriyaki-3.78</v>
      </c>
      <c r="D2" s="20" t="s">
        <v>7</v>
      </c>
      <c r="E2" s="20">
        <v>1</v>
      </c>
      <c r="F2" s="21">
        <v>3.78</v>
      </c>
      <c r="G2" s="22"/>
      <c r="H2" s="21">
        <f t="shared" ref="H2:H30" si="0">F2*I2</f>
        <v>4.716981132075472</v>
      </c>
      <c r="I2" s="23">
        <v>1.2478786063691725</v>
      </c>
      <c r="J2" s="24"/>
      <c r="K2" s="25">
        <v>104.47</v>
      </c>
      <c r="L2" s="26">
        <f>K2/H2</f>
        <v>22.147639999999999</v>
      </c>
      <c r="M2" s="26"/>
      <c r="N2" s="26">
        <f>_xlfn.MAXIFS('P-0404 Teriyaki'!$H:$H,'P-0404 Teriyaki'!$I:$I,$F2)</f>
        <v>188.10572687224669</v>
      </c>
      <c r="O2" s="26">
        <f>_xlfn.MINIFS('P-0404 Teriyaki'!$H:$H,'P-0404 Teriyaki'!$I:$I,$F2)</f>
        <v>68.684210526315795</v>
      </c>
      <c r="P2" s="26">
        <f>AVERAGEIF('P-0404 Teriyaki'!$I:$I,$F2,'P-0404 Teriyaki'!$H:$H)</f>
        <v>130.93583352654764</v>
      </c>
      <c r="Q2" s="26"/>
      <c r="R2" s="26">
        <f t="shared" ref="R2:T17" si="1">N2*$H2</f>
        <v>887.29116449172977</v>
      </c>
      <c r="S2" s="26">
        <f t="shared" si="1"/>
        <v>323.98212512413113</v>
      </c>
      <c r="T2" s="26">
        <f>P2*$H2</f>
        <v>617.62185625730024</v>
      </c>
      <c r="U2" s="26"/>
      <c r="V2" s="27">
        <f t="shared" ref="V2:X17" si="2">R2*0.76</f>
        <v>674.34128501371458</v>
      </c>
      <c r="W2" s="27">
        <f t="shared" si="2"/>
        <v>246.22641509433967</v>
      </c>
      <c r="X2" s="27">
        <f>T2*0.76</f>
        <v>469.39261075554816</v>
      </c>
      <c r="Y2" s="28">
        <f t="shared" ref="Y2:AA17" si="3">(V2-$K2)/V2</f>
        <v>0.84507844570442492</v>
      </c>
      <c r="Z2" s="28">
        <f t="shared" si="3"/>
        <v>0.57571570881226064</v>
      </c>
      <c r="AA2" s="28">
        <f>(X2-$K2)/X2</f>
        <v>0.77743578061051699</v>
      </c>
      <c r="AC2" s="28">
        <f>IF(Z2&gt;0.5,Z2,0.5)</f>
        <v>0.57571570881226064</v>
      </c>
      <c r="AD2" s="28">
        <f>(AG2-K2)/AG2</f>
        <v>0.56470833333333337</v>
      </c>
      <c r="AF2" s="27">
        <f>K2/(1-AC2)</f>
        <v>246.22641509433967</v>
      </c>
      <c r="AG2" s="26">
        <v>240</v>
      </c>
      <c r="AH2" s="29">
        <v>0.24</v>
      </c>
      <c r="AI2" s="27">
        <f>ROUND(AG2/(1-AH2),0)</f>
        <v>316</v>
      </c>
      <c r="AJ2" s="27">
        <f>AI2/H2</f>
        <v>66.99199999999999</v>
      </c>
      <c r="AL2" s="28">
        <f t="shared" ref="AL2:AL17" si="4">($AI2-R2)/R2</f>
        <v>-0.64385985948477753</v>
      </c>
      <c r="AM2" s="28">
        <f t="shared" ref="AM2:AM17" si="5">($AI2-S2)/S2</f>
        <v>-2.4637547892720449E-2</v>
      </c>
      <c r="AN2" s="28">
        <f t="shared" ref="AN2:AN17" si="6">($AI2-T2)/T2</f>
        <v>-0.48836007534624076</v>
      </c>
      <c r="AP2" s="27">
        <f t="shared" ref="AP2:AP30" si="7">AG2-K2</f>
        <v>135.53</v>
      </c>
      <c r="AQ2" s="26">
        <f t="shared" ref="AQ2:AQ17" si="8">AP2/H2</f>
        <v>28.73236</v>
      </c>
    </row>
    <row r="3" spans="1:43" s="20" customFormat="1" x14ac:dyDescent="0.2">
      <c r="A3" s="20" t="s">
        <v>138</v>
      </c>
      <c r="C3" s="20" t="str">
        <f>_xlfn.TEXTJOIN("-",1,A3,F3)</f>
        <v>Teriyaki-0.946</v>
      </c>
      <c r="D3" s="20" t="s">
        <v>122</v>
      </c>
      <c r="E3" s="20">
        <v>1</v>
      </c>
      <c r="F3" s="21">
        <v>0.94599999999999995</v>
      </c>
      <c r="G3" s="22"/>
      <c r="H3" s="21">
        <f t="shared" si="0"/>
        <v>1.1804931616252372</v>
      </c>
      <c r="I3" s="23">
        <v>1.2478786063691725</v>
      </c>
      <c r="J3" s="24"/>
      <c r="K3" s="25">
        <v>37.29</v>
      </c>
      <c r="L3" s="26">
        <f t="shared" ref="L3:L19" si="9">K3/H3</f>
        <v>31.588493023255811</v>
      </c>
      <c r="M3" s="26"/>
      <c r="N3" s="26">
        <f>_xlfn.MAXIFS('P-0404 Teriyaki'!$H:$H,'P-0404 Teriyaki'!$I:$I,$F3)</f>
        <v>0</v>
      </c>
      <c r="O3" s="26">
        <f>_xlfn.MINIFS('P-0404 Teriyaki'!$H:$H,'P-0404 Teriyaki'!$I:$I,$F3)</f>
        <v>0</v>
      </c>
      <c r="P3" s="26">
        <f>IFERROR(AVERAGEIF('P-0404 Teriyaki'!$I:$I,$F3,'P-0404 Teriyaki'!$H:$H),0)</f>
        <v>0</v>
      </c>
      <c r="Q3" s="26"/>
      <c r="R3" s="26">
        <f t="shared" si="1"/>
        <v>0</v>
      </c>
      <c r="S3" s="26">
        <f t="shared" si="1"/>
        <v>0</v>
      </c>
      <c r="T3" s="26">
        <f t="shared" si="1"/>
        <v>0</v>
      </c>
      <c r="U3" s="26"/>
      <c r="V3" s="27">
        <f t="shared" si="2"/>
        <v>0</v>
      </c>
      <c r="W3" s="27">
        <f t="shared" si="2"/>
        <v>0</v>
      </c>
      <c r="X3" s="27">
        <f t="shared" si="2"/>
        <v>0</v>
      </c>
      <c r="Y3" s="28">
        <f t="shared" ref="Y3:AA3" si="10">IFERROR((V3-$K3)/V3,0)</f>
        <v>0</v>
      </c>
      <c r="Z3" s="28">
        <f t="shared" si="10"/>
        <v>0</v>
      </c>
      <c r="AA3" s="28">
        <f t="shared" si="10"/>
        <v>0</v>
      </c>
      <c r="AC3" s="28">
        <f t="shared" ref="AC3:AC17" si="11">IF(Z3&gt;0.5,Z3,0.5)</f>
        <v>0.5</v>
      </c>
      <c r="AD3" s="28">
        <f t="shared" ref="AD3:AD4" si="12">(AG3-K3)/AG3</f>
        <v>0.53387499999999999</v>
      </c>
      <c r="AF3" s="27">
        <f t="shared" ref="AF3:AF30" si="13">K3/(1-AC3)</f>
        <v>74.58</v>
      </c>
      <c r="AG3" s="26">
        <v>80</v>
      </c>
      <c r="AH3" s="29">
        <v>0.24</v>
      </c>
      <c r="AI3" s="27">
        <f>ROUND(AG3/(1-AH3),0)</f>
        <v>105</v>
      </c>
      <c r="AJ3" s="27">
        <f t="shared" ref="AJ3:AJ17" si="14">AI3/H3</f>
        <v>88.945877378435512</v>
      </c>
      <c r="AL3" s="28" t="e">
        <f t="shared" si="4"/>
        <v>#DIV/0!</v>
      </c>
      <c r="AM3" s="28" t="e">
        <f t="shared" si="5"/>
        <v>#DIV/0!</v>
      </c>
      <c r="AN3" s="28" t="e">
        <f t="shared" si="6"/>
        <v>#DIV/0!</v>
      </c>
      <c r="AP3" s="27">
        <f t="shared" si="7"/>
        <v>42.71</v>
      </c>
      <c r="AQ3" s="26">
        <f t="shared" si="8"/>
        <v>36.179794503171244</v>
      </c>
    </row>
    <row r="4" spans="1:43" hidden="1" x14ac:dyDescent="0.2">
      <c r="A4" t="s">
        <v>138</v>
      </c>
      <c r="C4" t="str">
        <f>_xlfn.TEXTJOIN("-",1,A4,F4)</f>
        <v>Teriyaki-0.414</v>
      </c>
      <c r="D4" t="s">
        <v>99</v>
      </c>
      <c r="E4">
        <v>0</v>
      </c>
      <c r="F4" s="1">
        <v>0.41399999999999998</v>
      </c>
      <c r="H4" s="1">
        <f t="shared" si="0"/>
        <v>0.51662174303683739</v>
      </c>
      <c r="I4" s="6">
        <v>1.2478786063691725</v>
      </c>
      <c r="K4" s="4">
        <v>19.72</v>
      </c>
      <c r="L4" s="3">
        <f t="shared" si="9"/>
        <v>38.171060869565217</v>
      </c>
      <c r="N4" s="3">
        <f>_xlfn.MAXIFS('P-0404 Teriyaki'!$H:$H,'P-0404 Teriyaki'!$I:$I,$F4)</f>
        <v>540</v>
      </c>
      <c r="O4" s="3">
        <f>_xlfn.MINIFS('P-0404 Teriyaki'!$H:$H,'P-0404 Teriyaki'!$I:$I,$F4)</f>
        <v>111.42857142857143</v>
      </c>
      <c r="P4" s="3">
        <f>AVERAGEIF('P-0404 Teriyaki'!$I:$I,$F4,'P-0404 Teriyaki'!$H:$H)</f>
        <v>251.92644679409148</v>
      </c>
      <c r="R4" s="3">
        <f t="shared" si="1"/>
        <v>278.97574123989222</v>
      </c>
      <c r="S4" s="3">
        <f t="shared" si="1"/>
        <v>57.566422795533313</v>
      </c>
      <c r="T4" s="3">
        <f t="shared" si="1"/>
        <v>130.15068005984062</v>
      </c>
      <c r="U4" s="3"/>
      <c r="V4" s="10">
        <f t="shared" si="2"/>
        <v>212.02156334231807</v>
      </c>
      <c r="W4" s="10">
        <f t="shared" si="2"/>
        <v>43.750481324605317</v>
      </c>
      <c r="X4" s="10">
        <f t="shared" si="2"/>
        <v>98.914516845478872</v>
      </c>
      <c r="Y4" s="16">
        <f t="shared" si="3"/>
        <v>0.90699059242308666</v>
      </c>
      <c r="Z4" s="16">
        <f t="shared" si="3"/>
        <v>0.549262101742651</v>
      </c>
      <c r="AA4" s="16">
        <f t="shared" si="3"/>
        <v>0.80063593667645405</v>
      </c>
      <c r="AC4" s="16">
        <f t="shared" si="11"/>
        <v>0.549262101742651</v>
      </c>
      <c r="AD4" s="16">
        <f t="shared" si="12"/>
        <v>0.56177777777777782</v>
      </c>
      <c r="AF4" s="10">
        <f t="shared" si="13"/>
        <v>43.750481324605317</v>
      </c>
      <c r="AG4" s="3">
        <v>45</v>
      </c>
      <c r="AH4" s="17">
        <v>0.24</v>
      </c>
      <c r="AI4" s="10">
        <f t="shared" ref="AI2:AI30" si="15">AG4/(1-AH4)</f>
        <v>59.210526315789473</v>
      </c>
      <c r="AJ4" s="10">
        <f t="shared" si="14"/>
        <v>114.61098398169337</v>
      </c>
      <c r="AL4" s="16">
        <f t="shared" si="4"/>
        <v>-0.78775743707093826</v>
      </c>
      <c r="AM4" s="16">
        <f t="shared" si="5"/>
        <v>2.8560112656222377E-2</v>
      </c>
      <c r="AN4" s="16">
        <f t="shared" si="6"/>
        <v>-0.5450617216247684</v>
      </c>
      <c r="AP4" s="10">
        <f t="shared" si="7"/>
        <v>25.28</v>
      </c>
      <c r="AQ4" s="3">
        <f t="shared" si="8"/>
        <v>48.933286956521741</v>
      </c>
    </row>
    <row r="5" spans="1:43" s="20" customFormat="1" x14ac:dyDescent="0.2">
      <c r="A5" s="20" t="s">
        <v>139</v>
      </c>
      <c r="B5" s="20" t="s">
        <v>10</v>
      </c>
      <c r="C5" s="20" t="str">
        <f>_xlfn.TEXTJOIN("-",1,A5,F5)</f>
        <v>Sriracha-3.78</v>
      </c>
      <c r="D5" s="20" t="s">
        <v>11</v>
      </c>
      <c r="E5" s="20">
        <v>1</v>
      </c>
      <c r="F5" s="21">
        <v>3.78</v>
      </c>
      <c r="G5" s="22"/>
      <c r="H5" s="21">
        <f t="shared" si="0"/>
        <v>4.5045045045045047</v>
      </c>
      <c r="I5" s="23">
        <v>1.191667858334525</v>
      </c>
      <c r="J5" s="24"/>
      <c r="K5" s="25">
        <v>114.69</v>
      </c>
      <c r="L5" s="26">
        <f t="shared" si="9"/>
        <v>25.461179999999999</v>
      </c>
      <c r="M5" s="26"/>
      <c r="N5" s="26">
        <f>_xlfn.MAXIFS('P-0410 Sriracha'!$H:$H,'P-0410 Sriracha'!$I:$I,$F5)</f>
        <v>152.38095238095238</v>
      </c>
      <c r="O5" s="26">
        <f>_xlfn.MINIFS('P-0410 Sriracha'!$H:$H,'P-0410 Sriracha'!$I:$I,$F5)</f>
        <v>73.684210526315795</v>
      </c>
      <c r="P5" s="26">
        <f>AVERAGEIF('P-0410 Sriracha'!$I:$I,$F5,'P-0410 Sriracha'!$H:$H)</f>
        <v>113.03258145363409</v>
      </c>
      <c r="Q5" s="26"/>
      <c r="R5" s="26">
        <f t="shared" si="1"/>
        <v>686.40068640068637</v>
      </c>
      <c r="S5" s="26">
        <f t="shared" si="1"/>
        <v>331.91085822664775</v>
      </c>
      <c r="T5" s="26">
        <f t="shared" si="1"/>
        <v>509.15577231366711</v>
      </c>
      <c r="U5" s="26"/>
      <c r="V5" s="27">
        <f t="shared" si="2"/>
        <v>521.66452166452166</v>
      </c>
      <c r="W5" s="27">
        <f t="shared" si="2"/>
        <v>252.2522522522523</v>
      </c>
      <c r="X5" s="27">
        <f t="shared" si="2"/>
        <v>386.958386958387</v>
      </c>
      <c r="Y5" s="28">
        <f t="shared" si="3"/>
        <v>0.78014606085526317</v>
      </c>
      <c r="Z5" s="28">
        <f t="shared" si="3"/>
        <v>0.54533607142857154</v>
      </c>
      <c r="AA5" s="28">
        <f t="shared" si="3"/>
        <v>0.70361154101995571</v>
      </c>
      <c r="AC5" s="28">
        <f t="shared" si="11"/>
        <v>0.54533607142857154</v>
      </c>
      <c r="AD5" s="28">
        <f>(AG5-K5)/AG5</f>
        <v>0.52212500000000006</v>
      </c>
      <c r="AF5" s="27">
        <f t="shared" si="13"/>
        <v>252.2522522522523</v>
      </c>
      <c r="AG5" s="26">
        <v>240</v>
      </c>
      <c r="AH5" s="29">
        <v>0.24</v>
      </c>
      <c r="AI5" s="27">
        <f t="shared" ref="AI5:AI9" si="16">ROUND(AG5/(1-AH5),0)</f>
        <v>316</v>
      </c>
      <c r="AJ5" s="27">
        <f t="shared" si="14"/>
        <v>70.152000000000001</v>
      </c>
      <c r="AL5" s="28">
        <f t="shared" si="4"/>
        <v>-0.53962749999999993</v>
      </c>
      <c r="AM5" s="28">
        <f t="shared" si="5"/>
        <v>-4.7937142857142991E-2</v>
      </c>
      <c r="AN5" s="28">
        <f t="shared" si="6"/>
        <v>-0.37936478935698453</v>
      </c>
      <c r="AP5" s="27">
        <f t="shared" si="7"/>
        <v>125.31</v>
      </c>
      <c r="AQ5" s="26">
        <f t="shared" si="8"/>
        <v>27.818819999999999</v>
      </c>
    </row>
    <row r="6" spans="1:43" s="20" customFormat="1" x14ac:dyDescent="0.2">
      <c r="A6" s="20" t="s">
        <v>139</v>
      </c>
      <c r="C6" s="20" t="str">
        <f>_xlfn.TEXTJOIN("-",1,A6,F6)</f>
        <v>Sriracha-0.946</v>
      </c>
      <c r="D6" s="20" t="s">
        <v>105</v>
      </c>
      <c r="E6" s="20">
        <v>1</v>
      </c>
      <c r="F6" s="21">
        <v>0.94599999999999995</v>
      </c>
      <c r="G6" s="22"/>
      <c r="H6" s="21">
        <f t="shared" si="0"/>
        <v>1.1273177939844605</v>
      </c>
      <c r="I6" s="23">
        <v>1.191667858334525</v>
      </c>
      <c r="J6" s="24"/>
      <c r="K6" s="25">
        <v>39.83</v>
      </c>
      <c r="L6" s="26">
        <f t="shared" si="9"/>
        <v>35.331652008456665</v>
      </c>
      <c r="M6" s="26"/>
      <c r="N6" s="26">
        <f>_xlfn.MAXIFS('P-0410 Sriracha'!$H:$H,'P-0410 Sriracha'!$I:$I,$F6)</f>
        <v>151.32408575031525</v>
      </c>
      <c r="O6" s="26">
        <f>_xlfn.MINIFS('P-0410 Sriracha'!$H:$H,'P-0410 Sriracha'!$I:$I,$F6)</f>
        <v>151.32408575031525</v>
      </c>
      <c r="P6" s="26">
        <f>AVERAGEIF('P-0410 Sriracha'!$I:$I,$F6,'P-0410 Sriracha'!$H:$H)</f>
        <v>151.32408575031525</v>
      </c>
      <c r="Q6" s="26"/>
      <c r="R6" s="26">
        <f t="shared" si="1"/>
        <v>170.59033452476072</v>
      </c>
      <c r="S6" s="26">
        <f t="shared" si="1"/>
        <v>170.59033452476072</v>
      </c>
      <c r="T6" s="26">
        <f t="shared" si="1"/>
        <v>170.59033452476072</v>
      </c>
      <c r="U6" s="26"/>
      <c r="V6" s="27">
        <f t="shared" si="2"/>
        <v>129.64865423881815</v>
      </c>
      <c r="W6" s="27">
        <f t="shared" si="2"/>
        <v>129.64865423881815</v>
      </c>
      <c r="X6" s="27">
        <f t="shared" si="2"/>
        <v>129.64865423881815</v>
      </c>
      <c r="Y6" s="28">
        <f t="shared" si="3"/>
        <v>0.69278508725102927</v>
      </c>
      <c r="Z6" s="28">
        <f t="shared" si="3"/>
        <v>0.69278508725102927</v>
      </c>
      <c r="AA6" s="28">
        <f t="shared" si="3"/>
        <v>0.69278508725102927</v>
      </c>
      <c r="AC6" s="28">
        <f t="shared" si="11"/>
        <v>0.69278508725102927</v>
      </c>
      <c r="AD6" s="28">
        <f t="shared" ref="AD6:AD30" si="17">(AG6-K6)/AG6</f>
        <v>0.50212500000000004</v>
      </c>
      <c r="AF6" s="27">
        <f t="shared" si="13"/>
        <v>129.64865423881818</v>
      </c>
      <c r="AG6" s="26">
        <v>80</v>
      </c>
      <c r="AH6" s="29">
        <v>0.24</v>
      </c>
      <c r="AI6" s="27">
        <f t="shared" si="16"/>
        <v>105</v>
      </c>
      <c r="AJ6" s="27">
        <f t="shared" si="14"/>
        <v>93.141437632135322</v>
      </c>
      <c r="AL6" s="28">
        <f t="shared" si="4"/>
        <v>-0.3844903329809724</v>
      </c>
      <c r="AM6" s="28">
        <f t="shared" si="5"/>
        <v>-0.3844903329809724</v>
      </c>
      <c r="AN6" s="28">
        <f t="shared" si="6"/>
        <v>-0.3844903329809724</v>
      </c>
      <c r="AP6" s="27">
        <f t="shared" si="7"/>
        <v>40.17</v>
      </c>
      <c r="AQ6" s="26">
        <f t="shared" si="8"/>
        <v>35.633252854122624</v>
      </c>
    </row>
    <row r="7" spans="1:43" s="20" customFormat="1" x14ac:dyDescent="0.2">
      <c r="A7" s="20" t="s">
        <v>139</v>
      </c>
      <c r="C7" s="20" t="str">
        <f>_xlfn.TEXTJOIN("-",1,A7,F7)</f>
        <v>Sriracha-0.414</v>
      </c>
      <c r="D7" s="20" t="s">
        <v>106</v>
      </c>
      <c r="E7" s="20">
        <v>1</v>
      </c>
      <c r="F7" s="21">
        <v>0.41399999999999998</v>
      </c>
      <c r="G7" s="22"/>
      <c r="H7" s="21">
        <f t="shared" si="0"/>
        <v>0.49335049335049336</v>
      </c>
      <c r="I7" s="23">
        <v>1.191667858334525</v>
      </c>
      <c r="J7" s="24"/>
      <c r="K7" s="25">
        <v>20.83</v>
      </c>
      <c r="L7" s="26">
        <f t="shared" si="9"/>
        <v>42.221504347826084</v>
      </c>
      <c r="M7" s="26"/>
      <c r="N7" s="26">
        <f>_xlfn.MAXIFS('P-0410 Sriracha'!$H:$H,'P-0410 Sriracha'!$I:$I,$F7)</f>
        <v>499.99999999999994</v>
      </c>
      <c r="O7" s="26">
        <f>_xlfn.MINIFS('P-0410 Sriracha'!$H:$H,'P-0410 Sriracha'!$I:$I,$F7)</f>
        <v>96</v>
      </c>
      <c r="P7" s="26">
        <f>AVERAGEIF('P-0410 Sriracha'!$I:$I,$F7,'P-0410 Sriracha'!$H:$H)</f>
        <v>261.43584055902932</v>
      </c>
      <c r="Q7" s="26"/>
      <c r="R7" s="26">
        <f t="shared" si="1"/>
        <v>246.67524667524665</v>
      </c>
      <c r="S7" s="26">
        <f t="shared" si="1"/>
        <v>47.361647361647364</v>
      </c>
      <c r="T7" s="26">
        <f t="shared" si="1"/>
        <v>128.97950091929803</v>
      </c>
      <c r="U7" s="26"/>
      <c r="V7" s="27">
        <f t="shared" si="2"/>
        <v>187.47318747318747</v>
      </c>
      <c r="W7" s="27">
        <f t="shared" si="2"/>
        <v>35.994851994851999</v>
      </c>
      <c r="X7" s="27">
        <f t="shared" si="2"/>
        <v>98.024420698666503</v>
      </c>
      <c r="Y7" s="28">
        <f t="shared" si="3"/>
        <v>0.88889077803203664</v>
      </c>
      <c r="Z7" s="28">
        <f t="shared" si="3"/>
        <v>0.42130613558352414</v>
      </c>
      <c r="AA7" s="28">
        <f t="shared" si="3"/>
        <v>0.78750193215593911</v>
      </c>
      <c r="AC7" s="28">
        <f t="shared" si="11"/>
        <v>0.5</v>
      </c>
      <c r="AD7" s="28">
        <f t="shared" si="17"/>
        <v>0.53711111111111109</v>
      </c>
      <c r="AF7" s="27">
        <f t="shared" si="13"/>
        <v>41.66</v>
      </c>
      <c r="AG7" s="26">
        <v>45</v>
      </c>
      <c r="AH7" s="29">
        <v>0.24</v>
      </c>
      <c r="AI7" s="27">
        <f t="shared" si="16"/>
        <v>59</v>
      </c>
      <c r="AJ7" s="27">
        <f t="shared" si="14"/>
        <v>119.5904347826087</v>
      </c>
      <c r="AL7" s="28">
        <f t="shared" si="4"/>
        <v>-0.76081913043478255</v>
      </c>
      <c r="AM7" s="28">
        <f t="shared" si="5"/>
        <v>0.24573369565217384</v>
      </c>
      <c r="AN7" s="28">
        <f t="shared" si="6"/>
        <v>-0.5425629686928618</v>
      </c>
      <c r="AP7" s="27">
        <f t="shared" si="7"/>
        <v>24.17</v>
      </c>
      <c r="AQ7" s="26">
        <f t="shared" si="8"/>
        <v>48.991539130434788</v>
      </c>
    </row>
    <row r="8" spans="1:43" s="20" customFormat="1" x14ac:dyDescent="0.2">
      <c r="A8" s="20" t="s">
        <v>141</v>
      </c>
      <c r="B8" s="20" t="s">
        <v>12</v>
      </c>
      <c r="C8" s="20" t="str">
        <f>_xlfn.TEXTJOIN("-",1,A8,F8)</f>
        <v>Soya-3.78</v>
      </c>
      <c r="D8" s="20" t="s">
        <v>13</v>
      </c>
      <c r="E8" s="20">
        <v>1</v>
      </c>
      <c r="F8" s="21">
        <v>3.78</v>
      </c>
      <c r="G8" s="22"/>
      <c r="H8" s="21">
        <f t="shared" si="0"/>
        <v>4</v>
      </c>
      <c r="I8" s="23">
        <v>1.0582010582010584</v>
      </c>
      <c r="J8" s="24"/>
      <c r="K8" s="25">
        <v>62.8</v>
      </c>
      <c r="L8" s="26">
        <f t="shared" si="9"/>
        <v>15.7</v>
      </c>
      <c r="M8" s="26"/>
      <c r="N8" s="26">
        <f>_xlfn.MAXIFS('P-0402 Soya'!$H:$H,'P-0402 Soya'!$I:$I,$F8)</f>
        <v>174.07407407407408</v>
      </c>
      <c r="O8" s="26">
        <f>_xlfn.MINIFS('P-0402 Soya'!$H:$H,'P-0402 Soya'!$I:$I,$F8)</f>
        <v>22.8</v>
      </c>
      <c r="P8" s="26">
        <f>AVERAGEIF('P-0402 Soya'!$I:$I,$F8,'P-0402 Soya'!$H:$H)</f>
        <v>89.761603835978846</v>
      </c>
      <c r="Q8" s="26"/>
      <c r="R8" s="26">
        <f t="shared" si="1"/>
        <v>696.2962962962963</v>
      </c>
      <c r="S8" s="26">
        <f t="shared" si="1"/>
        <v>91.2</v>
      </c>
      <c r="T8" s="26">
        <f t="shared" si="1"/>
        <v>359.04641534391538</v>
      </c>
      <c r="U8" s="26"/>
      <c r="V8" s="27">
        <f t="shared" si="2"/>
        <v>529.18518518518522</v>
      </c>
      <c r="W8" s="27">
        <f t="shared" si="2"/>
        <v>69.311999999999998</v>
      </c>
      <c r="X8" s="27">
        <f t="shared" si="2"/>
        <v>272.87527566137567</v>
      </c>
      <c r="Y8" s="28">
        <f t="shared" si="3"/>
        <v>0.88132698768197082</v>
      </c>
      <c r="Z8" s="28">
        <f t="shared" si="3"/>
        <v>9.3951985226223458E-2</v>
      </c>
      <c r="AA8" s="28">
        <f t="shared" si="3"/>
        <v>0.76985822607859999</v>
      </c>
      <c r="AC8" s="28">
        <f t="shared" si="11"/>
        <v>0.5</v>
      </c>
      <c r="AD8" s="28">
        <f t="shared" si="17"/>
        <v>0.40190476190476193</v>
      </c>
      <c r="AF8" s="27">
        <f t="shared" si="13"/>
        <v>125.6</v>
      </c>
      <c r="AG8" s="26">
        <v>105</v>
      </c>
      <c r="AH8" s="29">
        <v>0.17</v>
      </c>
      <c r="AI8" s="27">
        <f t="shared" si="16"/>
        <v>127</v>
      </c>
      <c r="AJ8" s="27">
        <f t="shared" si="14"/>
        <v>31.75</v>
      </c>
      <c r="AL8" s="28">
        <f t="shared" si="4"/>
        <v>-0.81760638297872346</v>
      </c>
      <c r="AM8" s="28">
        <f t="shared" si="5"/>
        <v>0.39254385964912275</v>
      </c>
      <c r="AN8" s="28">
        <f t="shared" si="6"/>
        <v>-0.64628528632335158</v>
      </c>
      <c r="AP8" s="27">
        <f t="shared" si="7"/>
        <v>42.2</v>
      </c>
      <c r="AQ8" s="26">
        <f t="shared" si="8"/>
        <v>10.55</v>
      </c>
    </row>
    <row r="9" spans="1:43" s="20" customFormat="1" x14ac:dyDescent="0.2">
      <c r="A9" s="20" t="s">
        <v>141</v>
      </c>
      <c r="C9" s="20" t="str">
        <f>_xlfn.TEXTJOIN("-",1,A9,F9)</f>
        <v>Soya-20</v>
      </c>
      <c r="D9" s="20" t="s">
        <v>102</v>
      </c>
      <c r="E9" s="20">
        <v>1</v>
      </c>
      <c r="F9" s="21">
        <v>20</v>
      </c>
      <c r="G9" s="22"/>
      <c r="H9" s="21">
        <f t="shared" si="0"/>
        <v>21.164021164021168</v>
      </c>
      <c r="I9" s="23">
        <v>1.0582010582010584</v>
      </c>
      <c r="J9" s="24"/>
      <c r="K9" s="25">
        <v>251.26</v>
      </c>
      <c r="L9" s="26">
        <f t="shared" si="9"/>
        <v>11.872034999999997</v>
      </c>
      <c r="M9" s="26"/>
      <c r="N9" s="26">
        <f>_xlfn.MAXIFS('P-0402 Soya'!$H:$H,'P-0402 Soya'!$I:$I,$F9)</f>
        <v>24.2</v>
      </c>
      <c r="O9" s="26">
        <f>_xlfn.MINIFS('P-0402 Soya'!$H:$H,'P-0402 Soya'!$I:$I,$F9)</f>
        <v>24.2</v>
      </c>
      <c r="P9" s="26">
        <f>AVERAGEIF('P-0402 Soya'!$I:$I,$F9,'P-0402 Soya'!$H:$H)</f>
        <v>24.2</v>
      </c>
      <c r="Q9" s="26"/>
      <c r="R9" s="26">
        <f t="shared" si="1"/>
        <v>512.16931216931221</v>
      </c>
      <c r="S9" s="26">
        <f t="shared" si="1"/>
        <v>512.16931216931221</v>
      </c>
      <c r="T9" s="26">
        <f t="shared" si="1"/>
        <v>512.16931216931221</v>
      </c>
      <c r="U9" s="26"/>
      <c r="V9" s="27">
        <f t="shared" si="2"/>
        <v>389.24867724867727</v>
      </c>
      <c r="W9" s="27">
        <f t="shared" si="2"/>
        <v>389.24867724867727</v>
      </c>
      <c r="X9" s="27">
        <f t="shared" si="2"/>
        <v>389.24867724867727</v>
      </c>
      <c r="Y9" s="28">
        <f t="shared" si="3"/>
        <v>0.35450005437146592</v>
      </c>
      <c r="Z9" s="28">
        <f t="shared" si="3"/>
        <v>0.35450005437146592</v>
      </c>
      <c r="AA9" s="28">
        <f t="shared" si="3"/>
        <v>0.35450005437146592</v>
      </c>
      <c r="AC9" s="28">
        <f t="shared" si="11"/>
        <v>0.5</v>
      </c>
      <c r="AD9" s="28">
        <f t="shared" si="17"/>
        <v>0.4</v>
      </c>
      <c r="AF9" s="27">
        <f t="shared" si="13"/>
        <v>502.52</v>
      </c>
      <c r="AG9" s="26">
        <v>418.76666666666665</v>
      </c>
      <c r="AH9" s="29">
        <v>0.17</v>
      </c>
      <c r="AI9" s="27">
        <f t="shared" si="16"/>
        <v>505</v>
      </c>
      <c r="AJ9" s="27">
        <f t="shared" si="14"/>
        <v>23.861249999999995</v>
      </c>
      <c r="AL9" s="28">
        <f t="shared" si="4"/>
        <v>-1.3997933884297592E-2</v>
      </c>
      <c r="AM9" s="28">
        <f t="shared" si="5"/>
        <v>-1.3997933884297592E-2</v>
      </c>
      <c r="AN9" s="28">
        <f t="shared" si="6"/>
        <v>-1.3997933884297592E-2</v>
      </c>
      <c r="AP9" s="27">
        <f t="shared" si="7"/>
        <v>167.50666666666666</v>
      </c>
      <c r="AQ9" s="26">
        <f t="shared" si="8"/>
        <v>7.9146899999999984</v>
      </c>
    </row>
    <row r="10" spans="1:43" s="30" customFormat="1" hidden="1" x14ac:dyDescent="0.2">
      <c r="A10" s="30" t="s">
        <v>141</v>
      </c>
      <c r="C10" s="30" t="str">
        <f>_xlfn.TEXTJOIN("-",1,A10,F10)</f>
        <v>Soya-0.946</v>
      </c>
      <c r="D10" s="30" t="s">
        <v>101</v>
      </c>
      <c r="E10" s="30">
        <v>0</v>
      </c>
      <c r="F10" s="31">
        <v>0.94599999999999995</v>
      </c>
      <c r="G10" s="32"/>
      <c r="H10" s="31">
        <f t="shared" si="0"/>
        <v>1.0010582010582012</v>
      </c>
      <c r="I10" s="33">
        <v>1.0582010582010584</v>
      </c>
      <c r="J10" s="34"/>
      <c r="K10" s="35">
        <v>26.91</v>
      </c>
      <c r="L10" s="36">
        <f t="shared" si="9"/>
        <v>26.881553911205071</v>
      </c>
      <c r="M10" s="36"/>
      <c r="N10" s="36">
        <f>_xlfn.MAXIFS('P-0402 Soya'!$H:$H,'P-0402 Soya'!$I:$I,$F10)</f>
        <v>166</v>
      </c>
      <c r="O10" s="36">
        <f>_xlfn.MINIFS('P-0402 Soya'!$H:$H,'P-0402 Soya'!$I:$I,$F10)</f>
        <v>28</v>
      </c>
      <c r="P10" s="36">
        <f>AVERAGEIF('P-0402 Soya'!$I:$I,$F10,'P-0402 Soya'!$H:$H)</f>
        <v>62.714285714285715</v>
      </c>
      <c r="Q10" s="36"/>
      <c r="R10" s="36">
        <f t="shared" si="1"/>
        <v>166.17566137566141</v>
      </c>
      <c r="S10" s="36">
        <f t="shared" si="1"/>
        <v>28.029629629629632</v>
      </c>
      <c r="T10" s="36">
        <f t="shared" si="1"/>
        <v>62.780650037792903</v>
      </c>
      <c r="U10" s="36"/>
      <c r="V10" s="37">
        <f t="shared" si="2"/>
        <v>126.29350264550267</v>
      </c>
      <c r="W10" s="37">
        <f t="shared" si="2"/>
        <v>21.302518518518522</v>
      </c>
      <c r="X10" s="37">
        <f t="shared" si="2"/>
        <v>47.713294028722608</v>
      </c>
      <c r="Y10" s="38">
        <f t="shared" si="3"/>
        <v>0.78692490558651662</v>
      </c>
      <c r="Z10" s="38">
        <f t="shared" si="3"/>
        <v>-0.26323091687993749</v>
      </c>
      <c r="AA10" s="38">
        <f t="shared" si="3"/>
        <v>0.43600624212194133</v>
      </c>
      <c r="AC10" s="38">
        <f t="shared" si="11"/>
        <v>0.5</v>
      </c>
      <c r="AD10" s="38">
        <f t="shared" si="17"/>
        <v>0.40200000000000002</v>
      </c>
      <c r="AF10" s="37">
        <f t="shared" si="13"/>
        <v>53.82</v>
      </c>
      <c r="AG10" s="36">
        <v>45</v>
      </c>
      <c r="AH10" s="39">
        <v>0.24</v>
      </c>
      <c r="AI10" s="37">
        <f t="shared" si="15"/>
        <v>59.210526315789473</v>
      </c>
      <c r="AJ10" s="37">
        <f t="shared" si="14"/>
        <v>59.147935907421825</v>
      </c>
      <c r="AL10" s="38">
        <f t="shared" si="4"/>
        <v>-0.64368713308782033</v>
      </c>
      <c r="AM10" s="38">
        <f t="shared" si="5"/>
        <v>1.1124262824079223</v>
      </c>
      <c r="AN10" s="38">
        <f t="shared" si="6"/>
        <v>-5.6866625621975482E-2</v>
      </c>
      <c r="AP10" s="37">
        <f t="shared" si="7"/>
        <v>18.09</v>
      </c>
      <c r="AQ10" s="36">
        <f t="shared" si="8"/>
        <v>18.070877378435515</v>
      </c>
    </row>
    <row r="11" spans="1:43" hidden="1" x14ac:dyDescent="0.2">
      <c r="A11" t="s">
        <v>141</v>
      </c>
      <c r="C11" t="str">
        <f>_xlfn.TEXTJOIN("-",1,A11,F11)</f>
        <v>Soya-0.414</v>
      </c>
      <c r="D11" t="s">
        <v>100</v>
      </c>
      <c r="E11">
        <v>0</v>
      </c>
      <c r="F11" s="1">
        <v>0.41399999999999998</v>
      </c>
      <c r="H11" s="1">
        <f t="shared" si="0"/>
        <v>0.43809523809523815</v>
      </c>
      <c r="I11" s="6">
        <v>1.0582010582010584</v>
      </c>
      <c r="K11" s="4">
        <v>15.17</v>
      </c>
      <c r="L11" s="3">
        <f t="shared" si="9"/>
        <v>34.627173913043471</v>
      </c>
      <c r="N11" s="3">
        <f>_xlfn.MAXIFS('P-0402 Soya'!$H:$H,'P-0402 Soya'!$I:$I,$F11)</f>
        <v>317.56756756756761</v>
      </c>
      <c r="O11" s="3">
        <f>_xlfn.MINIFS('P-0402 Soya'!$H:$H,'P-0402 Soya'!$I:$I,$F11)</f>
        <v>57.142857142857146</v>
      </c>
      <c r="P11" s="3">
        <f>AVERAGEIF('P-0402 Soya'!$I:$I,$F11,'P-0402 Soya'!$H:$H)</f>
        <v>156.26617234554723</v>
      </c>
      <c r="R11" s="3">
        <f t="shared" si="1"/>
        <v>139.12483912483916</v>
      </c>
      <c r="S11" s="3">
        <f t="shared" si="1"/>
        <v>25.03401360544218</v>
      </c>
      <c r="T11" s="3">
        <f t="shared" si="1"/>
        <v>68.459465979954032</v>
      </c>
      <c r="U11" s="3"/>
      <c r="V11" s="10">
        <f t="shared" si="2"/>
        <v>105.73487773487776</v>
      </c>
      <c r="W11" s="10">
        <f t="shared" si="2"/>
        <v>19.025850340136056</v>
      </c>
      <c r="X11" s="10">
        <f t="shared" si="2"/>
        <v>52.029194144765064</v>
      </c>
      <c r="Y11" s="16">
        <f t="shared" si="3"/>
        <v>0.8565279468328546</v>
      </c>
      <c r="Z11" s="16">
        <f t="shared" si="3"/>
        <v>0.20266375858123578</v>
      </c>
      <c r="AA11" s="16">
        <f t="shared" si="3"/>
        <v>0.70843292406583747</v>
      </c>
      <c r="AC11" s="16">
        <f t="shared" si="11"/>
        <v>0.5</v>
      </c>
      <c r="AD11" s="16">
        <f t="shared" si="17"/>
        <v>0.49433333333333335</v>
      </c>
      <c r="AF11" s="10">
        <f t="shared" si="13"/>
        <v>30.34</v>
      </c>
      <c r="AG11" s="3">
        <v>30</v>
      </c>
      <c r="AH11" s="17">
        <v>0.24</v>
      </c>
      <c r="AI11" s="10">
        <f t="shared" si="15"/>
        <v>39.473684210526315</v>
      </c>
      <c r="AJ11" s="10">
        <f t="shared" si="14"/>
        <v>90.102974828375267</v>
      </c>
      <c r="AL11" s="16">
        <f t="shared" si="4"/>
        <v>-0.7162714835191587</v>
      </c>
      <c r="AM11" s="16">
        <f t="shared" si="5"/>
        <v>0.57680205949656727</v>
      </c>
      <c r="AN11" s="16">
        <f t="shared" si="6"/>
        <v>-0.42340064086849866</v>
      </c>
      <c r="AP11" s="10">
        <f t="shared" si="7"/>
        <v>14.83</v>
      </c>
      <c r="AQ11" s="3">
        <f t="shared" si="8"/>
        <v>33.851086956521733</v>
      </c>
    </row>
    <row r="12" spans="1:43" hidden="1" x14ac:dyDescent="0.2">
      <c r="A12" t="s">
        <v>140</v>
      </c>
      <c r="B12" t="s">
        <v>4</v>
      </c>
      <c r="C12" t="str">
        <f>_xlfn.TEXTJOIN("-",1,A12,F12)</f>
        <v>Ostión-3.78</v>
      </c>
      <c r="D12" t="s">
        <v>5</v>
      </c>
      <c r="E12">
        <v>0</v>
      </c>
      <c r="F12" s="1">
        <v>3.78</v>
      </c>
      <c r="H12" s="1">
        <f t="shared" si="0"/>
        <v>4.4052863436123344</v>
      </c>
      <c r="I12" s="6">
        <v>1.1654196676223108</v>
      </c>
      <c r="K12" s="4">
        <v>78.33</v>
      </c>
      <c r="L12" s="3">
        <f t="shared" si="9"/>
        <v>17.780910000000002</v>
      </c>
      <c r="N12" s="3">
        <f>_xlfn.MAXIFS('P-0403 - Ostion'!$H:$H,'P-0403 - Ostion'!$I:$I,$F12)</f>
        <v>167.40088105726872</v>
      </c>
      <c r="O12" s="3">
        <f>_xlfn.MINIFS('P-0403 - Ostion'!$H:$H,'P-0403 - Ostion'!$I:$I,$F12)</f>
        <v>65.454545454545453</v>
      </c>
      <c r="P12" s="3">
        <f>AVERAGEIF('P-0403 - Ostion'!$I:$I,$F12,'P-0403 - Ostion'!$H:$H)</f>
        <v>108.12615138165799</v>
      </c>
      <c r="R12" s="3">
        <f t="shared" si="1"/>
        <v>737.44881523025856</v>
      </c>
      <c r="S12" s="3">
        <f t="shared" si="1"/>
        <v>288.34601521826187</v>
      </c>
      <c r="T12" s="3">
        <f t="shared" si="1"/>
        <v>476.32665806897791</v>
      </c>
      <c r="U12" s="3"/>
      <c r="V12" s="10">
        <f t="shared" si="2"/>
        <v>560.46109957499652</v>
      </c>
      <c r="W12" s="10">
        <f t="shared" si="2"/>
        <v>219.14297156587901</v>
      </c>
      <c r="X12" s="10">
        <f t="shared" si="2"/>
        <v>362.00826013242323</v>
      </c>
      <c r="Y12" s="16">
        <f t="shared" si="3"/>
        <v>0.86024007721606655</v>
      </c>
      <c r="Z12" s="16">
        <f t="shared" si="3"/>
        <v>0.64256211622807013</v>
      </c>
      <c r="AA12" s="16">
        <f t="shared" si="3"/>
        <v>0.78362372181411899</v>
      </c>
      <c r="AC12" s="16">
        <f t="shared" si="11"/>
        <v>0.64256211622807013</v>
      </c>
      <c r="AD12" s="16">
        <f t="shared" si="17"/>
        <v>0.60835000000000006</v>
      </c>
      <c r="AF12" s="10">
        <f t="shared" si="13"/>
        <v>219.14297156587904</v>
      </c>
      <c r="AG12" s="3">
        <v>200</v>
      </c>
      <c r="AH12" s="17">
        <v>0.24</v>
      </c>
      <c r="AI12" s="10">
        <f t="shared" si="15"/>
        <v>263.15789473684208</v>
      </c>
      <c r="AJ12" s="10">
        <f t="shared" si="14"/>
        <v>59.736842105263158</v>
      </c>
      <c r="AL12" s="16">
        <f t="shared" si="4"/>
        <v>-0.64315096952908579</v>
      </c>
      <c r="AM12" s="16">
        <f t="shared" si="5"/>
        <v>-8.7353801169590586E-2</v>
      </c>
      <c r="AN12" s="16">
        <f t="shared" si="6"/>
        <v>-0.44752641852194297</v>
      </c>
      <c r="AP12" s="10">
        <f t="shared" si="7"/>
        <v>121.67</v>
      </c>
      <c r="AQ12" s="3">
        <f t="shared" si="8"/>
        <v>27.619090000000003</v>
      </c>
    </row>
    <row r="13" spans="1:43" hidden="1" x14ac:dyDescent="0.2">
      <c r="A13" t="s">
        <v>140</v>
      </c>
      <c r="C13" t="str">
        <f>_xlfn.TEXTJOIN("-",1,A13,F13)</f>
        <v>Ostión-0.414</v>
      </c>
      <c r="D13" t="s">
        <v>107</v>
      </c>
      <c r="E13">
        <v>0</v>
      </c>
      <c r="F13" s="1">
        <v>0.41399999999999998</v>
      </c>
      <c r="H13" s="1">
        <f t="shared" si="0"/>
        <v>0.48248374239563663</v>
      </c>
      <c r="I13" s="6">
        <v>1.1654196676223108</v>
      </c>
      <c r="K13" s="4">
        <v>16.87</v>
      </c>
      <c r="L13" s="3">
        <f t="shared" si="9"/>
        <v>34.964908695652177</v>
      </c>
      <c r="N13" s="3">
        <f>_xlfn.MAXIFS('P-0403 - Ostion'!$H:$H,'P-0403 - Ostion'!$I:$I,$F13)</f>
        <v>508</v>
      </c>
      <c r="O13" s="3">
        <f>_xlfn.MINIFS('P-0403 - Ostion'!$H:$H,'P-0403 - Ostion'!$I:$I,$F13)</f>
        <v>112.29166666666667</v>
      </c>
      <c r="P13" s="3">
        <f>AVERAGEIF('P-0403 - Ostion'!$I:$I,$F13,'P-0403 - Ostion'!$H:$H)</f>
        <v>236.53138448749533</v>
      </c>
      <c r="R13" s="3">
        <f t="shared" si="1"/>
        <v>245.10174113698341</v>
      </c>
      <c r="S13" s="3">
        <f t="shared" si="1"/>
        <v>54.178903573176697</v>
      </c>
      <c r="T13" s="3">
        <f t="shared" si="1"/>
        <v>114.12254758154798</v>
      </c>
      <c r="U13" s="3"/>
      <c r="V13" s="10">
        <f t="shared" si="2"/>
        <v>186.27732326410739</v>
      </c>
      <c r="W13" s="10">
        <f t="shared" si="2"/>
        <v>41.175966715614294</v>
      </c>
      <c r="X13" s="10">
        <f t="shared" si="2"/>
        <v>86.733136161976461</v>
      </c>
      <c r="Y13" s="16">
        <f t="shared" si="3"/>
        <v>0.90943610470458924</v>
      </c>
      <c r="Z13" s="16">
        <f t="shared" si="3"/>
        <v>0.59029498647805279</v>
      </c>
      <c r="AA13" s="16">
        <f t="shared" si="3"/>
        <v>0.80549533031418552</v>
      </c>
      <c r="AC13" s="16">
        <f t="shared" si="11"/>
        <v>0.59029498647805279</v>
      </c>
      <c r="AD13" s="16">
        <f t="shared" si="17"/>
        <v>0.57824999999999993</v>
      </c>
      <c r="AF13" s="10">
        <f t="shared" si="13"/>
        <v>41.175966715614287</v>
      </c>
      <c r="AG13" s="3">
        <v>40</v>
      </c>
      <c r="AH13" s="17">
        <v>0.24</v>
      </c>
      <c r="AI13" s="10">
        <f t="shared" si="15"/>
        <v>52.631578947368418</v>
      </c>
      <c r="AJ13" s="10">
        <f t="shared" si="14"/>
        <v>109.08466819221968</v>
      </c>
      <c r="AL13" s="16">
        <f t="shared" si="4"/>
        <v>-0.785266401196418</v>
      </c>
      <c r="AM13" s="16">
        <f t="shared" si="5"/>
        <v>-2.8559541145353497E-2</v>
      </c>
      <c r="AN13" s="16">
        <f t="shared" si="6"/>
        <v>-0.53881524674377135</v>
      </c>
      <c r="AP13" s="10">
        <f t="shared" si="7"/>
        <v>23.13</v>
      </c>
      <c r="AQ13" s="3">
        <f t="shared" si="8"/>
        <v>47.939439130434785</v>
      </c>
    </row>
    <row r="14" spans="1:43" s="20" customFormat="1" x14ac:dyDescent="0.2">
      <c r="A14" s="20" t="s">
        <v>140</v>
      </c>
      <c r="C14" s="20" t="str">
        <f>_xlfn.TEXTJOIN("-",1,A14,F14)</f>
        <v>Ostión-0.946</v>
      </c>
      <c r="D14" s="20" t="s">
        <v>108</v>
      </c>
      <c r="E14" s="20">
        <v>1</v>
      </c>
      <c r="F14" s="21">
        <v>0.94599999999999995</v>
      </c>
      <c r="G14" s="22"/>
      <c r="H14" s="21">
        <f t="shared" si="0"/>
        <v>1.1024870055707059</v>
      </c>
      <c r="I14" s="23">
        <v>1.1654196676223108</v>
      </c>
      <c r="J14" s="24"/>
      <c r="K14" s="25">
        <v>30.78</v>
      </c>
      <c r="L14" s="26">
        <f t="shared" si="9"/>
        <v>27.918696405919665</v>
      </c>
      <c r="M14" s="26"/>
      <c r="N14" s="26">
        <f>_xlfn.MAXIFS('P-0403 - Ostion'!$H:$H,'P-0403 - Ostion'!$I:$I,$F14)</f>
        <v>95.649350649350652</v>
      </c>
      <c r="O14" s="26">
        <f>_xlfn.MINIFS('P-0403 - Ostion'!$H:$H,'P-0403 - Ostion'!$I:$I,$F14)</f>
        <v>95.649350649350652</v>
      </c>
      <c r="P14" s="26">
        <f>AVERAGEIF('P-0403 - Ostion'!$I:$I,$F14,'P-0403 - Ostion'!$H:$H)</f>
        <v>95.649350649350652</v>
      </c>
      <c r="Q14" s="26"/>
      <c r="R14" s="26">
        <f t="shared" si="1"/>
        <v>105.45216618218505</v>
      </c>
      <c r="S14" s="26">
        <f t="shared" si="1"/>
        <v>105.45216618218505</v>
      </c>
      <c r="T14" s="26">
        <f t="shared" si="1"/>
        <v>105.45216618218505</v>
      </c>
      <c r="U14" s="26"/>
      <c r="V14" s="27">
        <f t="shared" si="2"/>
        <v>80.143646298460638</v>
      </c>
      <c r="W14" s="27">
        <f t="shared" si="2"/>
        <v>80.143646298460638</v>
      </c>
      <c r="X14" s="27">
        <f t="shared" si="2"/>
        <v>80.143646298460638</v>
      </c>
      <c r="Y14" s="28">
        <f t="shared" si="3"/>
        <v>0.61593961066641401</v>
      </c>
      <c r="Z14" s="28">
        <f t="shared" si="3"/>
        <v>0.61593961066641401</v>
      </c>
      <c r="AA14" s="28">
        <f t="shared" si="3"/>
        <v>0.61593961066641401</v>
      </c>
      <c r="AC14" s="28">
        <f t="shared" si="11"/>
        <v>0.61593961066641401</v>
      </c>
      <c r="AD14" s="28">
        <f t="shared" si="17"/>
        <v>0.61524999999999996</v>
      </c>
      <c r="AF14" s="27">
        <f t="shared" si="13"/>
        <v>80.143646298460638</v>
      </c>
      <c r="AG14" s="26">
        <v>80</v>
      </c>
      <c r="AH14" s="29">
        <v>0.24</v>
      </c>
      <c r="AI14" s="27">
        <f t="shared" ref="AI14:AI15" si="18">ROUND(AG14/(1-AH14),0)</f>
        <v>105</v>
      </c>
      <c r="AJ14" s="27">
        <f t="shared" si="14"/>
        <v>95.239217758985205</v>
      </c>
      <c r="AL14" s="28">
        <f t="shared" si="4"/>
        <v>-4.2878795055178416E-3</v>
      </c>
      <c r="AM14" s="28">
        <f t="shared" si="5"/>
        <v>-4.2878795055178416E-3</v>
      </c>
      <c r="AN14" s="28">
        <f t="shared" si="6"/>
        <v>-4.2878795055178416E-3</v>
      </c>
      <c r="AP14" s="27">
        <f t="shared" si="7"/>
        <v>49.22</v>
      </c>
      <c r="AQ14" s="26">
        <f t="shared" si="8"/>
        <v>44.644517124735735</v>
      </c>
    </row>
    <row r="15" spans="1:43" s="20" customFormat="1" x14ac:dyDescent="0.2">
      <c r="A15" s="20" t="s">
        <v>142</v>
      </c>
      <c r="B15" s="20" t="s">
        <v>8</v>
      </c>
      <c r="C15" s="20" t="str">
        <f>_xlfn.TEXTJOIN("-",1,A15,F15)</f>
        <v>Mayo Chipotle-3.78</v>
      </c>
      <c r="D15" s="20" t="s">
        <v>9</v>
      </c>
      <c r="E15" s="20">
        <v>1</v>
      </c>
      <c r="F15" s="21">
        <v>3.78</v>
      </c>
      <c r="G15" s="22"/>
      <c r="H15" s="21">
        <f t="shared" si="0"/>
        <v>4.1152263374485596</v>
      </c>
      <c r="I15" s="23">
        <v>1.0886842162562327</v>
      </c>
      <c r="J15" s="24"/>
      <c r="K15" s="25">
        <v>102.38</v>
      </c>
      <c r="L15" s="26">
        <f t="shared" si="9"/>
        <v>24.878339999999998</v>
      </c>
      <c r="M15" s="26"/>
      <c r="N15" s="26">
        <f>_xlfn.MAXIFS('P-0408 Mayo Chipotle'!$H:$H,'P-0408 Mayo Chipotle'!$I:$I,$F15)</f>
        <v>112.5</v>
      </c>
      <c r="O15" s="26">
        <f>_xlfn.MINIFS('P-0408 Mayo Chipotle'!$H:$H,'P-0408 Mayo Chipotle'!$I:$I,$F15)</f>
        <v>78.684210526315795</v>
      </c>
      <c r="P15" s="26">
        <f>AVERAGEIF('P-0408 Mayo Chipotle'!$I:$I,$F15,'P-0408 Mayo Chipotle'!$H:$H)</f>
        <v>95.59210526315789</v>
      </c>
      <c r="Q15" s="26"/>
      <c r="R15" s="26">
        <f t="shared" si="1"/>
        <v>462.96296296296293</v>
      </c>
      <c r="S15" s="26">
        <f t="shared" si="1"/>
        <v>323.80333549924194</v>
      </c>
      <c r="T15" s="26">
        <f t="shared" si="1"/>
        <v>393.38314923110244</v>
      </c>
      <c r="U15" s="26"/>
      <c r="V15" s="27">
        <f t="shared" si="2"/>
        <v>351.85185185185185</v>
      </c>
      <c r="W15" s="27">
        <f t="shared" si="2"/>
        <v>246.09053497942386</v>
      </c>
      <c r="X15" s="27">
        <f t="shared" si="2"/>
        <v>298.97119341563786</v>
      </c>
      <c r="Y15" s="28">
        <f t="shared" si="3"/>
        <v>0.70902526315789471</v>
      </c>
      <c r="Z15" s="28">
        <f t="shared" si="3"/>
        <v>0.58397424749163884</v>
      </c>
      <c r="AA15" s="28">
        <f t="shared" si="3"/>
        <v>0.65755898141775637</v>
      </c>
      <c r="AC15" s="28">
        <f t="shared" si="11"/>
        <v>0.58397424749163884</v>
      </c>
      <c r="AD15" s="28">
        <f t="shared" si="17"/>
        <v>0.57341666666666669</v>
      </c>
      <c r="AF15" s="27">
        <f t="shared" si="13"/>
        <v>246.09053497942389</v>
      </c>
      <c r="AG15" s="26">
        <v>240</v>
      </c>
      <c r="AH15" s="29">
        <v>0.24</v>
      </c>
      <c r="AI15" s="27">
        <f t="shared" si="18"/>
        <v>316</v>
      </c>
      <c r="AJ15" s="27">
        <f t="shared" si="14"/>
        <v>76.787999999999997</v>
      </c>
      <c r="AL15" s="28">
        <f t="shared" si="4"/>
        <v>-0.31743999999999994</v>
      </c>
      <c r="AM15" s="28">
        <f t="shared" si="5"/>
        <v>-2.4098996655518415E-2</v>
      </c>
      <c r="AN15" s="28">
        <f t="shared" si="6"/>
        <v>-0.19671190640055056</v>
      </c>
      <c r="AP15" s="27">
        <f t="shared" si="7"/>
        <v>137.62</v>
      </c>
      <c r="AQ15" s="26">
        <f t="shared" si="8"/>
        <v>33.441659999999999</v>
      </c>
    </row>
    <row r="16" spans="1:43" hidden="1" x14ac:dyDescent="0.2">
      <c r="A16" t="s">
        <v>142</v>
      </c>
      <c r="C16" t="str">
        <f>_xlfn.TEXTJOIN("-",1,A16,F16)</f>
        <v>Mayo Chipotle-0.946</v>
      </c>
      <c r="D16" t="s">
        <v>103</v>
      </c>
      <c r="E16">
        <v>0</v>
      </c>
      <c r="F16" s="1">
        <v>0.94599999999999995</v>
      </c>
      <c r="H16" s="1">
        <f t="shared" si="0"/>
        <v>1.029895268578396</v>
      </c>
      <c r="I16" s="6">
        <v>1.0886842162562327</v>
      </c>
      <c r="K16" s="4">
        <v>36.770000000000003</v>
      </c>
      <c r="L16" s="3">
        <f t="shared" si="9"/>
        <v>35.702659408033838</v>
      </c>
      <c r="N16" s="3">
        <f>_xlfn.MAXIFS('P-0408 Mayo Chipotle'!$H:$H,'P-0408 Mayo Chipotle'!$I:$I,$F16)</f>
        <v>0</v>
      </c>
      <c r="O16" s="3">
        <f>_xlfn.MINIFS('P-0408 Mayo Chipotle'!$H:$H,'P-0408 Mayo Chipotle'!$I:$I,$F16)</f>
        <v>0</v>
      </c>
      <c r="P16" s="3">
        <f>IFERROR(AVERAGEIF('P-0408 Mayo Chipotle'!$I:$I,$F16,'P-0408 Mayo Chipotle'!$H:$H),0)</f>
        <v>0</v>
      </c>
      <c r="R16" s="3">
        <f t="shared" si="1"/>
        <v>0</v>
      </c>
      <c r="S16" s="3">
        <f t="shared" si="1"/>
        <v>0</v>
      </c>
      <c r="T16" s="3">
        <f t="shared" si="1"/>
        <v>0</v>
      </c>
      <c r="U16" s="3"/>
      <c r="V16" s="10">
        <f t="shared" si="2"/>
        <v>0</v>
      </c>
      <c r="W16" s="10">
        <f t="shared" si="2"/>
        <v>0</v>
      </c>
      <c r="X16" s="10">
        <f t="shared" si="2"/>
        <v>0</v>
      </c>
      <c r="Y16" s="16">
        <f>IFERROR((V16-$K16)/V16,0)</f>
        <v>0</v>
      </c>
      <c r="Z16" s="16">
        <f t="shared" ref="Z16:AA16" si="19">IFERROR((W16-$K16)/W16,0)</f>
        <v>0</v>
      </c>
      <c r="AA16" s="16">
        <f t="shared" si="19"/>
        <v>0</v>
      </c>
      <c r="AC16" s="16">
        <f t="shared" si="11"/>
        <v>0.5</v>
      </c>
      <c r="AD16" s="16">
        <f t="shared" si="17"/>
        <v>0.54037499999999994</v>
      </c>
      <c r="AF16" s="10">
        <f t="shared" si="13"/>
        <v>73.540000000000006</v>
      </c>
      <c r="AG16" s="3">
        <v>80</v>
      </c>
      <c r="AH16" s="17">
        <v>0.24</v>
      </c>
      <c r="AI16" s="10">
        <f t="shared" si="15"/>
        <v>105.26315789473684</v>
      </c>
      <c r="AJ16" s="10">
        <f t="shared" si="14"/>
        <v>102.20763324802493</v>
      </c>
      <c r="AL16" s="16" t="e">
        <f t="shared" si="4"/>
        <v>#DIV/0!</v>
      </c>
      <c r="AM16" s="16" t="e">
        <f t="shared" si="5"/>
        <v>#DIV/0!</v>
      </c>
      <c r="AN16" s="16" t="e">
        <f t="shared" si="6"/>
        <v>#DIV/0!</v>
      </c>
      <c r="AP16" s="10">
        <f t="shared" si="7"/>
        <v>43.23</v>
      </c>
      <c r="AQ16" s="3">
        <f t="shared" si="8"/>
        <v>41.975141860465122</v>
      </c>
    </row>
    <row r="17" spans="1:43" hidden="1" x14ac:dyDescent="0.2">
      <c r="A17" t="s">
        <v>142</v>
      </c>
      <c r="C17" t="str">
        <f>_xlfn.TEXTJOIN("-",1,A17,F17)</f>
        <v>Mayo Chipotle-0.414</v>
      </c>
      <c r="D17" t="s">
        <v>104</v>
      </c>
      <c r="E17">
        <v>0</v>
      </c>
      <c r="F17" s="1">
        <v>0.41399999999999998</v>
      </c>
      <c r="H17" s="1">
        <f t="shared" si="0"/>
        <v>0.45071526553008029</v>
      </c>
      <c r="I17" s="6">
        <v>1.0886842162562327</v>
      </c>
      <c r="K17" s="4">
        <v>19.489999999999998</v>
      </c>
      <c r="L17" s="3">
        <f t="shared" si="9"/>
        <v>43.242378260869565</v>
      </c>
      <c r="N17" s="3">
        <f>_xlfn.MAXIFS('P-0408 Mayo Chipotle'!$H:$H,'P-0408 Mayo Chipotle'!$I:$I,$F17)</f>
        <v>166.66666666666669</v>
      </c>
      <c r="O17" s="3">
        <f>_xlfn.MINIFS('P-0408 Mayo Chipotle'!$H:$H,'P-0408 Mayo Chipotle'!$I:$I,$F17)</f>
        <v>96.470588235294116</v>
      </c>
      <c r="P17" s="3">
        <f>AVERAGEIF('P-0408 Mayo Chipotle'!$I:$I,$F17,'P-0408 Mayo Chipotle'!$H:$H)</f>
        <v>126.51017877004094</v>
      </c>
      <c r="R17" s="3">
        <f t="shared" si="1"/>
        <v>75.11921092168005</v>
      </c>
      <c r="S17" s="3">
        <f t="shared" si="1"/>
        <v>43.480766792313624</v>
      </c>
      <c r="T17" s="3">
        <f t="shared" si="1"/>
        <v>57.020068816596925</v>
      </c>
      <c r="U17" s="3"/>
      <c r="V17" s="10">
        <f t="shared" si="2"/>
        <v>57.090600300476837</v>
      </c>
      <c r="W17" s="10">
        <f t="shared" si="2"/>
        <v>33.045382762158354</v>
      </c>
      <c r="X17" s="10">
        <f t="shared" si="2"/>
        <v>43.335252300613661</v>
      </c>
      <c r="Y17" s="16">
        <f t="shared" si="3"/>
        <v>0.65861280320366133</v>
      </c>
      <c r="Z17" s="16">
        <f t="shared" si="3"/>
        <v>0.41020504618518716</v>
      </c>
      <c r="AA17" s="16">
        <f t="shared" si="3"/>
        <v>0.55025068586657322</v>
      </c>
      <c r="AC17" s="16">
        <f t="shared" si="11"/>
        <v>0.5</v>
      </c>
      <c r="AD17" s="16">
        <f t="shared" si="17"/>
        <v>0.51275000000000004</v>
      </c>
      <c r="AF17" s="10">
        <f t="shared" si="13"/>
        <v>38.979999999999997</v>
      </c>
      <c r="AG17" s="18">
        <v>40</v>
      </c>
      <c r="AH17" s="17">
        <v>0.24</v>
      </c>
      <c r="AI17" s="10">
        <f t="shared" si="15"/>
        <v>52.631578947368418</v>
      </c>
      <c r="AJ17" s="10">
        <f t="shared" si="14"/>
        <v>116.77345537757438</v>
      </c>
      <c r="AL17" s="16">
        <f t="shared" si="4"/>
        <v>-0.29935926773455374</v>
      </c>
      <c r="AM17" s="16">
        <f t="shared" si="5"/>
        <v>0.21045654964558819</v>
      </c>
      <c r="AN17" s="16">
        <f t="shared" si="6"/>
        <v>-7.6963952522469473E-2</v>
      </c>
      <c r="AP17" s="10">
        <f t="shared" si="7"/>
        <v>20.51</v>
      </c>
      <c r="AQ17" s="3">
        <f t="shared" si="8"/>
        <v>45.505447826086964</v>
      </c>
    </row>
    <row r="18" spans="1:43" hidden="1" x14ac:dyDescent="0.2">
      <c r="A18" t="s">
        <v>166</v>
      </c>
      <c r="C18" t="str">
        <f>_xlfn.TEXTJOIN("-",1,A18,F18)</f>
        <v>Anguila-3.78</v>
      </c>
      <c r="E18">
        <v>0</v>
      </c>
      <c r="F18" s="1">
        <v>3.78</v>
      </c>
      <c r="H18" s="1">
        <f t="shared" si="0"/>
        <v>4.7174399999999999</v>
      </c>
      <c r="I18" s="6">
        <v>1.248</v>
      </c>
      <c r="K18" s="4">
        <v>93.34</v>
      </c>
      <c r="L18" s="3">
        <f t="shared" si="9"/>
        <v>19.78615520282187</v>
      </c>
      <c r="N18" s="3">
        <f>_xlfn.MAXIFS('P-0403 - Ostion'!$H:$H,'P-0403 - Ostion'!$I:$I,$F18)</f>
        <v>167.40088105726872</v>
      </c>
      <c r="O18" s="3">
        <f>_xlfn.MINIFS('P-0403 - Ostion'!$H:$H,'P-0403 - Ostion'!$I:$I,$F18)</f>
        <v>65.454545454545453</v>
      </c>
      <c r="P18" s="3">
        <f>AVERAGEIF('P-0403 - Ostion'!$I:$I,$F18,'P-0403 - Ostion'!$H:$H)</f>
        <v>108.12615138165799</v>
      </c>
      <c r="R18" s="3">
        <f t="shared" ref="R18:R30" si="20">N18*$H18</f>
        <v>789.70361233480173</v>
      </c>
      <c r="S18" s="3">
        <f t="shared" ref="S18:S30" si="21">O18*$H18</f>
        <v>308.7778909090909</v>
      </c>
      <c r="T18" s="3">
        <f t="shared" ref="T18:T30" si="22">P18*$H18</f>
        <v>510.07863157388863</v>
      </c>
      <c r="U18" s="3"/>
      <c r="V18" s="10">
        <f t="shared" ref="V18:V30" si="23">R18*0.76</f>
        <v>600.17474537444934</v>
      </c>
      <c r="W18" s="10">
        <f t="shared" ref="W18:W30" si="24">S18*0.76</f>
        <v>234.67119709090909</v>
      </c>
      <c r="X18" s="10">
        <f t="shared" ref="X18:X30" si="25">T18*0.76</f>
        <v>387.65975999615534</v>
      </c>
      <c r="Y18" s="16">
        <f t="shared" ref="Y18:Y30" si="26">(V18-$K18)/V18</f>
        <v>0.84447862773405247</v>
      </c>
      <c r="Z18" s="16">
        <f t="shared" ref="Z18:Z30" si="27">(W18-$K18)/W18</f>
        <v>0.60225199701929721</v>
      </c>
      <c r="AA18" s="16">
        <f t="shared" ref="AA18:AA30" si="28">(X18-$K18)/X18</f>
        <v>0.75922184959066752</v>
      </c>
      <c r="AC18" s="16">
        <f t="shared" ref="AC18:AC30" si="29">IF(Z18&gt;0.5,Z18,0.5)</f>
        <v>0.60225199701929721</v>
      </c>
      <c r="AD18" s="16">
        <f t="shared" si="17"/>
        <v>0.61108333333333331</v>
      </c>
      <c r="AF18" s="10">
        <f t="shared" si="13"/>
        <v>234.67119709090909</v>
      </c>
      <c r="AG18" s="3">
        <v>240</v>
      </c>
      <c r="AH18" s="17">
        <v>0.24</v>
      </c>
      <c r="AI18" s="10">
        <f t="shared" si="15"/>
        <v>315.78947368421052</v>
      </c>
      <c r="AJ18" s="10">
        <f t="shared" ref="AJ18:AJ30" si="30">AI18/H18</f>
        <v>66.940856414540619</v>
      </c>
      <c r="AL18" s="16">
        <f t="shared" ref="AL18:AL30" si="31">($AI18-R18)/R18</f>
        <v>-0.60011646299734944</v>
      </c>
      <c r="AM18" s="16">
        <f t="shared" ref="AM18:AM30" si="32">($AI18-S18)/S18</f>
        <v>2.2707528555481783E-2</v>
      </c>
      <c r="AN18" s="16">
        <f t="shared" ref="AN18:AN30" si="33">($AI18-T18)/T18</f>
        <v>-0.38090040606128373</v>
      </c>
      <c r="AP18" s="10">
        <f t="shared" si="7"/>
        <v>146.66</v>
      </c>
      <c r="AQ18" s="3">
        <f t="shared" ref="AQ18:AQ30" si="34">AP18/H18</f>
        <v>31.088895672229008</v>
      </c>
    </row>
    <row r="19" spans="1:43" s="20" customFormat="1" x14ac:dyDescent="0.2">
      <c r="A19" s="20" t="s">
        <v>166</v>
      </c>
      <c r="C19" s="20" t="str">
        <f>_xlfn.TEXTJOIN("-",1,A19,F19)</f>
        <v>Anguila-0.946</v>
      </c>
      <c r="E19" s="20">
        <v>1</v>
      </c>
      <c r="F19" s="21">
        <v>0.94599999999999995</v>
      </c>
      <c r="G19" s="22"/>
      <c r="H19" s="21">
        <f t="shared" si="0"/>
        <v>1.1806079999999999</v>
      </c>
      <c r="I19" s="23">
        <v>1.248</v>
      </c>
      <c r="J19" s="24"/>
      <c r="K19" s="25">
        <v>34.51</v>
      </c>
      <c r="L19" s="26">
        <f t="shared" si="9"/>
        <v>29.230701469073562</v>
      </c>
      <c r="M19" s="26"/>
      <c r="N19" s="26">
        <f>_xlfn.MAXIFS('P-0403 - Ostion'!$H:$H,'P-0403 - Ostion'!$I:$I,$F19)</f>
        <v>95.649350649350652</v>
      </c>
      <c r="O19" s="26">
        <f>_xlfn.MINIFS('P-0403 - Ostion'!$H:$H,'P-0403 - Ostion'!$I:$I,$F19)</f>
        <v>95.649350649350652</v>
      </c>
      <c r="P19" s="26">
        <f>AVERAGEIF('P-0403 - Ostion'!$I:$I,$F19,'P-0403 - Ostion'!$H:$H)</f>
        <v>95.649350649350652</v>
      </c>
      <c r="Q19" s="26"/>
      <c r="R19" s="26">
        <f t="shared" si="20"/>
        <v>112.92438857142857</v>
      </c>
      <c r="S19" s="26">
        <f t="shared" si="21"/>
        <v>112.92438857142857</v>
      </c>
      <c r="T19" s="26">
        <f t="shared" si="22"/>
        <v>112.92438857142857</v>
      </c>
      <c r="U19" s="26"/>
      <c r="V19" s="27">
        <f t="shared" si="23"/>
        <v>85.822535314285716</v>
      </c>
      <c r="W19" s="27">
        <f t="shared" si="24"/>
        <v>85.822535314285716</v>
      </c>
      <c r="X19" s="27">
        <f t="shared" si="25"/>
        <v>85.822535314285716</v>
      </c>
      <c r="Y19" s="28">
        <f t="shared" si="26"/>
        <v>0.5978911614108936</v>
      </c>
      <c r="Z19" s="28">
        <f t="shared" si="27"/>
        <v>0.5978911614108936</v>
      </c>
      <c r="AA19" s="28">
        <f t="shared" si="28"/>
        <v>0.5978911614108936</v>
      </c>
      <c r="AC19" s="28">
        <f t="shared" si="29"/>
        <v>0.5978911614108936</v>
      </c>
      <c r="AD19" s="28">
        <f t="shared" si="17"/>
        <v>0.56862500000000005</v>
      </c>
      <c r="AF19" s="27">
        <f t="shared" si="13"/>
        <v>85.822535314285716</v>
      </c>
      <c r="AG19" s="26">
        <v>80</v>
      </c>
      <c r="AH19" s="29">
        <v>0.24</v>
      </c>
      <c r="AI19" s="27">
        <f>ROUND(AG19/(1-AH19),0)</f>
        <v>105</v>
      </c>
      <c r="AJ19" s="27">
        <f t="shared" si="30"/>
        <v>88.93722556513255</v>
      </c>
      <c r="AL19" s="28">
        <f t="shared" si="31"/>
        <v>-7.0174288049530742E-2</v>
      </c>
      <c r="AM19" s="28">
        <f t="shared" si="32"/>
        <v>-7.0174288049530742E-2</v>
      </c>
      <c r="AN19" s="28">
        <f t="shared" si="33"/>
        <v>-7.0174288049530742E-2</v>
      </c>
      <c r="AP19" s="27">
        <f t="shared" si="7"/>
        <v>45.49</v>
      </c>
      <c r="AQ19" s="26">
        <f t="shared" si="34"/>
        <v>38.530994199598858</v>
      </c>
    </row>
    <row r="20" spans="1:43" hidden="1" x14ac:dyDescent="0.2">
      <c r="A20" t="s">
        <v>166</v>
      </c>
      <c r="C20" t="str">
        <f>_xlfn.TEXTJOIN("-",1,A20,F20)</f>
        <v>Anguila-0.414</v>
      </c>
      <c r="E20">
        <v>0</v>
      </c>
      <c r="F20" s="1">
        <v>0.41399999999999998</v>
      </c>
      <c r="H20" s="1">
        <f t="shared" si="0"/>
        <v>0.51667200000000002</v>
      </c>
      <c r="I20" s="6">
        <v>1.248</v>
      </c>
      <c r="K20" s="4">
        <v>18.5</v>
      </c>
      <c r="L20" s="3">
        <f t="shared" ref="L20:L30" si="35">K20/H20</f>
        <v>35.806082001734175</v>
      </c>
      <c r="N20" s="3">
        <f>_xlfn.MAXIFS('P-0403 - Ostion'!$H:$H,'P-0403 - Ostion'!$I:$I,$F20)</f>
        <v>508</v>
      </c>
      <c r="O20" s="3">
        <f>_xlfn.MINIFS('P-0403 - Ostion'!$H:$H,'P-0403 - Ostion'!$I:$I,$F20)</f>
        <v>112.29166666666667</v>
      </c>
      <c r="P20" s="3">
        <f>AVERAGEIF('P-0403 - Ostion'!$I:$I,$F20,'P-0403 - Ostion'!$H:$H)</f>
        <v>236.53138448749533</v>
      </c>
      <c r="R20" s="3">
        <f t="shared" si="20"/>
        <v>262.46937600000001</v>
      </c>
      <c r="S20" s="3">
        <f t="shared" si="21"/>
        <v>58.017960000000002</v>
      </c>
      <c r="T20" s="3">
        <f t="shared" si="22"/>
        <v>122.20914348592319</v>
      </c>
      <c r="U20" s="3"/>
      <c r="V20" s="10">
        <f t="shared" si="23"/>
        <v>199.47672576000002</v>
      </c>
      <c r="W20" s="10">
        <f t="shared" si="24"/>
        <v>44.093649599999999</v>
      </c>
      <c r="X20" s="10">
        <f t="shared" si="25"/>
        <v>92.878949049301625</v>
      </c>
      <c r="Y20" s="16">
        <f t="shared" si="26"/>
        <v>0.9072573508036309</v>
      </c>
      <c r="Z20" s="16">
        <f t="shared" si="27"/>
        <v>0.58043844934985833</v>
      </c>
      <c r="AA20" s="16">
        <f t="shared" si="28"/>
        <v>0.80081600632474959</v>
      </c>
      <c r="AC20" s="16">
        <f t="shared" si="29"/>
        <v>0.58043844934985833</v>
      </c>
      <c r="AD20" s="16">
        <f t="shared" si="17"/>
        <v>0.53749999999999998</v>
      </c>
      <c r="AF20" s="10">
        <f t="shared" si="13"/>
        <v>44.093649599999999</v>
      </c>
      <c r="AG20" s="3">
        <v>40</v>
      </c>
      <c r="AH20" s="17">
        <v>0.24</v>
      </c>
      <c r="AI20" s="10">
        <f t="shared" si="15"/>
        <v>52.631578947368418</v>
      </c>
      <c r="AJ20" s="10">
        <f t="shared" si="30"/>
        <v>101.86652063082268</v>
      </c>
      <c r="AL20" s="16">
        <f t="shared" si="31"/>
        <v>-0.79947535308893181</v>
      </c>
      <c r="AM20" s="16">
        <f t="shared" si="32"/>
        <v>-9.2839890486180215E-2</v>
      </c>
      <c r="AN20" s="16">
        <f t="shared" si="33"/>
        <v>-0.56933190556702629</v>
      </c>
      <c r="AP20" s="10">
        <f t="shared" si="7"/>
        <v>21.5</v>
      </c>
      <c r="AQ20" s="3">
        <f t="shared" si="34"/>
        <v>41.612473677691071</v>
      </c>
    </row>
    <row r="21" spans="1:43" s="20" customFormat="1" x14ac:dyDescent="0.2">
      <c r="A21" s="20" t="s">
        <v>167</v>
      </c>
      <c r="C21" s="20" t="str">
        <f>_xlfn.TEXTJOIN("-",1,A21,F21)</f>
        <v>Ponzu-20</v>
      </c>
      <c r="E21" s="20">
        <v>1</v>
      </c>
      <c r="F21" s="21">
        <v>20</v>
      </c>
      <c r="G21" s="22"/>
      <c r="H21" s="21">
        <f t="shared" si="0"/>
        <v>21.16</v>
      </c>
      <c r="I21" s="23">
        <v>1.0580000000000001</v>
      </c>
      <c r="J21" s="24"/>
      <c r="K21" s="25">
        <v>295.68</v>
      </c>
      <c r="L21" s="26">
        <f t="shared" si="35"/>
        <v>13.973534971644613</v>
      </c>
      <c r="M21" s="26"/>
      <c r="N21" s="26">
        <f>_xlfn.MAXIFS('P-0402 Soya'!$H:$H,'P-0402 Soya'!$I:$I,$F21)</f>
        <v>24.2</v>
      </c>
      <c r="O21" s="26">
        <f>_xlfn.MINIFS('P-0402 Soya'!$H:$H,'P-0402 Soya'!$I:$I,$F21)</f>
        <v>24.2</v>
      </c>
      <c r="P21" s="26">
        <f>AVERAGEIF('P-0402 Soya'!$I:$I,$F21,'P-0402 Soya'!$H:$H)</f>
        <v>24.2</v>
      </c>
      <c r="Q21" s="26"/>
      <c r="R21" s="26">
        <f t="shared" ref="R21" si="36">N21*$H21</f>
        <v>512.072</v>
      </c>
      <c r="S21" s="26">
        <f t="shared" ref="S21" si="37">O21*$H21</f>
        <v>512.072</v>
      </c>
      <c r="T21" s="26">
        <f t="shared" ref="T21" si="38">P21*$H21</f>
        <v>512.072</v>
      </c>
      <c r="U21" s="26"/>
      <c r="V21" s="27">
        <f t="shared" ref="V21" si="39">R21*0.76</f>
        <v>389.17471999999998</v>
      </c>
      <c r="W21" s="27">
        <f t="shared" ref="W21" si="40">S21*0.76</f>
        <v>389.17471999999998</v>
      </c>
      <c r="X21" s="27">
        <f t="shared" ref="X21" si="41">T21*0.76</f>
        <v>389.17471999999998</v>
      </c>
      <c r="Y21" s="28">
        <f t="shared" ref="Y21" si="42">(V21-$K21)/V21</f>
        <v>0.24023842041949686</v>
      </c>
      <c r="Z21" s="28">
        <f t="shared" ref="Z21" si="43">(W21-$K21)/W21</f>
        <v>0.24023842041949686</v>
      </c>
      <c r="AA21" s="28">
        <f t="shared" ref="AA21" si="44">(X21-$K21)/X21</f>
        <v>0.24023842041949686</v>
      </c>
      <c r="AC21" s="28">
        <f t="shared" ref="AC21" si="45">IF(Z21&gt;0.5,Z21,0.5)</f>
        <v>0.5</v>
      </c>
      <c r="AD21" s="28">
        <f t="shared" si="17"/>
        <v>0.47</v>
      </c>
      <c r="AF21" s="27">
        <f t="shared" si="13"/>
        <v>591.36</v>
      </c>
      <c r="AG21" s="26">
        <v>557.88679245283015</v>
      </c>
      <c r="AH21" s="29">
        <v>0.24</v>
      </c>
      <c r="AI21" s="27">
        <f t="shared" ref="AI21:AI22" si="46">ROUND(AG21/(1-AH21),0)</f>
        <v>734</v>
      </c>
      <c r="AJ21" s="27">
        <f t="shared" ref="AJ21" si="47">AI21/H21</f>
        <v>34.688090737240074</v>
      </c>
      <c r="AL21" s="28">
        <f t="shared" ref="AL21" si="48">($AI21-R21)/R21</f>
        <v>0.4333921792247965</v>
      </c>
      <c r="AM21" s="28">
        <f t="shared" ref="AM21" si="49">($AI21-S21)/S21</f>
        <v>0.4333921792247965</v>
      </c>
      <c r="AN21" s="28">
        <f t="shared" ref="AN21" si="50">($AI21-T21)/T21</f>
        <v>0.4333921792247965</v>
      </c>
      <c r="AP21" s="27">
        <f t="shared" si="7"/>
        <v>262.20679245283014</v>
      </c>
      <c r="AQ21" s="26">
        <f t="shared" ref="AQ21" si="51">AP21/H21</f>
        <v>12.391625352213145</v>
      </c>
    </row>
    <row r="22" spans="1:43" s="20" customFormat="1" x14ac:dyDescent="0.2">
      <c r="A22" s="20" t="s">
        <v>167</v>
      </c>
      <c r="C22" s="20" t="str">
        <f>_xlfn.TEXTJOIN("-",1,A22,F22)</f>
        <v>Ponzu-3.78</v>
      </c>
      <c r="E22" s="20">
        <v>1</v>
      </c>
      <c r="F22" s="21">
        <v>3.78</v>
      </c>
      <c r="G22" s="22"/>
      <c r="H22" s="21">
        <f t="shared" si="0"/>
        <v>3.9992399999999999</v>
      </c>
      <c r="I22" s="23">
        <v>1.0580000000000001</v>
      </c>
      <c r="J22" s="24"/>
      <c r="K22" s="25">
        <v>71.239999999999995</v>
      </c>
      <c r="L22" s="26">
        <f t="shared" si="35"/>
        <v>17.813384543063179</v>
      </c>
      <c r="M22" s="26"/>
      <c r="N22" s="26">
        <f>_xlfn.MAXIFS('P-0402 Soya'!$H:$H,'P-0402 Soya'!$I:$I,$F22)</f>
        <v>174.07407407407408</v>
      </c>
      <c r="O22" s="26">
        <f>_xlfn.MINIFS('P-0402 Soya'!$H:$H,'P-0402 Soya'!$I:$I,$F22)</f>
        <v>22.8</v>
      </c>
      <c r="P22" s="26">
        <f>AVERAGEIF('P-0402 Soya'!$I:$I,$F22,'P-0402 Soya'!$H:$H)</f>
        <v>89.761603835978846</v>
      </c>
      <c r="Q22" s="26"/>
      <c r="R22" s="26">
        <f t="shared" si="20"/>
        <v>696.16399999999999</v>
      </c>
      <c r="S22" s="26">
        <f>O22*$H22</f>
        <v>91.182671999999997</v>
      </c>
      <c r="T22" s="26">
        <f t="shared" si="22"/>
        <v>358.97819652500004</v>
      </c>
      <c r="U22" s="26"/>
      <c r="V22" s="27">
        <f t="shared" si="23"/>
        <v>529.08464000000004</v>
      </c>
      <c r="W22" s="27">
        <f t="shared" si="24"/>
        <v>69.298830719999998</v>
      </c>
      <c r="X22" s="27">
        <f t="shared" si="25"/>
        <v>272.82342935900004</v>
      </c>
      <c r="Y22" s="28">
        <f t="shared" si="26"/>
        <v>0.86535235647740594</v>
      </c>
      <c r="Z22" s="28">
        <f t="shared" si="27"/>
        <v>-2.8011573353138346E-2</v>
      </c>
      <c r="AA22" s="28">
        <f t="shared" si="28"/>
        <v>0.73887873131945181</v>
      </c>
      <c r="AC22" s="28">
        <f t="shared" si="29"/>
        <v>0.5</v>
      </c>
      <c r="AD22" s="28">
        <f t="shared" si="17"/>
        <v>0.47229629629629633</v>
      </c>
      <c r="AF22" s="27">
        <f t="shared" si="13"/>
        <v>142.47999999999999</v>
      </c>
      <c r="AG22" s="26">
        <v>135</v>
      </c>
      <c r="AH22" s="29">
        <v>0.24</v>
      </c>
      <c r="AI22" s="27">
        <f t="shared" si="46"/>
        <v>178</v>
      </c>
      <c r="AJ22" s="27">
        <f t="shared" si="30"/>
        <v>44.508456606755281</v>
      </c>
      <c r="AL22" s="28">
        <f t="shared" si="31"/>
        <v>-0.74431312162076757</v>
      </c>
      <c r="AM22" s="28">
        <f>($AI22-S22)/S22</f>
        <v>0.95212528976996869</v>
      </c>
      <c r="AN22" s="28">
        <f t="shared" si="33"/>
        <v>-0.50414815795754409</v>
      </c>
      <c r="AP22" s="27">
        <f t="shared" si="7"/>
        <v>63.760000000000005</v>
      </c>
      <c r="AQ22" s="26">
        <f t="shared" si="34"/>
        <v>15.943029175543355</v>
      </c>
    </row>
    <row r="23" spans="1:43" hidden="1" x14ac:dyDescent="0.2">
      <c r="A23" t="s">
        <v>167</v>
      </c>
      <c r="C23" t="str">
        <f>_xlfn.TEXTJOIN("-",1,A23,F23)</f>
        <v>Ponzu-0.946</v>
      </c>
      <c r="E23">
        <v>0</v>
      </c>
      <c r="F23" s="1">
        <v>0.94599999999999995</v>
      </c>
      <c r="H23" s="1">
        <f t="shared" si="0"/>
        <v>1.0008680000000001</v>
      </c>
      <c r="I23" s="6">
        <v>1.0580000000000001</v>
      </c>
      <c r="K23" s="4">
        <v>29.01</v>
      </c>
      <c r="L23" s="3">
        <f t="shared" si="35"/>
        <v>28.984841157874964</v>
      </c>
      <c r="N23" s="3">
        <f>_xlfn.MAXIFS('P-0402 Soya'!$H:$H,'P-0402 Soya'!$I:$I,$F23)</f>
        <v>166</v>
      </c>
      <c r="O23" s="3">
        <f>_xlfn.MINIFS('P-0402 Soya'!$H:$H,'P-0402 Soya'!$I:$I,$F23)</f>
        <v>28</v>
      </c>
      <c r="P23" s="3">
        <f>AVERAGEIF('P-0402 Soya'!$I:$I,$F23,'P-0402 Soya'!$H:$H)</f>
        <v>62.714285714285715</v>
      </c>
      <c r="R23" s="3">
        <f t="shared" si="20"/>
        <v>166.14408800000001</v>
      </c>
      <c r="S23" s="3">
        <f t="shared" si="21"/>
        <v>28.024304000000001</v>
      </c>
      <c r="T23" s="3">
        <f t="shared" si="22"/>
        <v>62.768721714285718</v>
      </c>
      <c r="U23" s="3"/>
      <c r="V23" s="10">
        <f t="shared" si="23"/>
        <v>126.26950688000001</v>
      </c>
      <c r="W23" s="10">
        <f t="shared" si="24"/>
        <v>21.298471040000003</v>
      </c>
      <c r="X23" s="10">
        <f t="shared" si="25"/>
        <v>47.704228502857148</v>
      </c>
      <c r="Y23" s="16">
        <f t="shared" si="26"/>
        <v>0.77025331992806778</v>
      </c>
      <c r="Z23" s="16">
        <f t="shared" si="27"/>
        <v>-0.36206960328359789</v>
      </c>
      <c r="AA23" s="16">
        <f t="shared" si="28"/>
        <v>0.39187780810117273</v>
      </c>
      <c r="AC23" s="16">
        <f t="shared" si="29"/>
        <v>0.5</v>
      </c>
      <c r="AD23" s="16">
        <f t="shared" si="17"/>
        <v>0.41979999999999995</v>
      </c>
      <c r="AF23" s="10">
        <f t="shared" si="13"/>
        <v>58.02</v>
      </c>
      <c r="AG23" s="3">
        <v>50</v>
      </c>
      <c r="AH23" s="17">
        <v>0.24</v>
      </c>
      <c r="AI23" s="10">
        <f t="shared" si="15"/>
        <v>65.78947368421052</v>
      </c>
      <c r="AJ23" s="10">
        <f t="shared" si="30"/>
        <v>65.73241794543388</v>
      </c>
      <c r="AL23" s="16">
        <f t="shared" si="31"/>
        <v>-0.6040215786419646</v>
      </c>
      <c r="AM23" s="16">
        <f t="shared" si="32"/>
        <v>1.3475863551940672</v>
      </c>
      <c r="AN23" s="16">
        <f t="shared" si="33"/>
        <v>4.8125115303045925E-2</v>
      </c>
      <c r="AP23" s="10">
        <f t="shared" si="7"/>
        <v>20.99</v>
      </c>
      <c r="AQ23" s="3">
        <f t="shared" si="34"/>
        <v>20.971796480654788</v>
      </c>
    </row>
    <row r="24" spans="1:43" hidden="1" x14ac:dyDescent="0.2">
      <c r="A24" t="s">
        <v>167</v>
      </c>
      <c r="C24" t="str">
        <f>_xlfn.TEXTJOIN("-",1,A24,F24)</f>
        <v>Ponzu-0.414</v>
      </c>
      <c r="E24">
        <v>0</v>
      </c>
      <c r="F24" s="1">
        <v>0.41399999999999998</v>
      </c>
      <c r="H24" s="1">
        <f t="shared" si="0"/>
        <v>0.43801200000000001</v>
      </c>
      <c r="I24" s="6">
        <v>1.0580000000000001</v>
      </c>
      <c r="K24" s="4">
        <v>16.09</v>
      </c>
      <c r="L24" s="3">
        <f t="shared" si="35"/>
        <v>36.734153402189889</v>
      </c>
      <c r="N24" s="3">
        <f>_xlfn.MAXIFS('P-0402 Soya'!$H:$H,'P-0402 Soya'!$I:$I,$F24)</f>
        <v>317.56756756756761</v>
      </c>
      <c r="O24" s="3">
        <f>_xlfn.MINIFS('P-0402 Soya'!$H:$H,'P-0402 Soya'!$I:$I,$F24)</f>
        <v>57.142857142857146</v>
      </c>
      <c r="P24" s="3">
        <f>AVERAGEIF('P-0402 Soya'!$I:$I,$F24,'P-0402 Soya'!$H:$H)</f>
        <v>156.26617234554723</v>
      </c>
      <c r="R24" s="3">
        <f t="shared" si="20"/>
        <v>139.09840540540543</v>
      </c>
      <c r="S24" s="3">
        <f t="shared" si="21"/>
        <v>25.029257142857144</v>
      </c>
      <c r="T24" s="3">
        <f t="shared" si="22"/>
        <v>68.446458681417838</v>
      </c>
      <c r="U24" s="3"/>
      <c r="V24" s="10">
        <f t="shared" si="23"/>
        <v>105.71478810810812</v>
      </c>
      <c r="W24" s="10">
        <f t="shared" si="24"/>
        <v>19.022235428571431</v>
      </c>
      <c r="X24" s="10">
        <f t="shared" si="25"/>
        <v>52.019308597877554</v>
      </c>
      <c r="Y24" s="16">
        <f t="shared" si="26"/>
        <v>0.84779802061802623</v>
      </c>
      <c r="Z24" s="16">
        <f t="shared" si="27"/>
        <v>0.15414778350220651</v>
      </c>
      <c r="AA24" s="16">
        <f t="shared" si="28"/>
        <v>0.69069177515641778</v>
      </c>
      <c r="AC24" s="16">
        <f t="shared" si="29"/>
        <v>0.5</v>
      </c>
      <c r="AD24" s="16">
        <f t="shared" si="17"/>
        <v>0.46366666666666667</v>
      </c>
      <c r="AF24" s="10">
        <f t="shared" si="13"/>
        <v>32.18</v>
      </c>
      <c r="AG24" s="3">
        <v>30</v>
      </c>
      <c r="AH24" s="17">
        <v>0.24</v>
      </c>
      <c r="AI24" s="10">
        <f t="shared" si="15"/>
        <v>39.473684210526315</v>
      </c>
      <c r="AJ24" s="10">
        <f t="shared" si="30"/>
        <v>90.120097646928201</v>
      </c>
      <c r="AL24" s="16">
        <f t="shared" si="31"/>
        <v>-0.71621756485648147</v>
      </c>
      <c r="AM24" s="16">
        <f t="shared" si="32"/>
        <v>0.57710170882124345</v>
      </c>
      <c r="AN24" s="16">
        <f t="shared" si="33"/>
        <v>-0.4232910661710711</v>
      </c>
      <c r="AP24" s="10">
        <f t="shared" si="7"/>
        <v>13.91</v>
      </c>
      <c r="AQ24" s="3">
        <f t="shared" si="34"/>
        <v>31.757120809475538</v>
      </c>
    </row>
    <row r="25" spans="1:43" hidden="1" x14ac:dyDescent="0.2">
      <c r="A25" t="s">
        <v>168</v>
      </c>
      <c r="C25" t="str">
        <f>_xlfn.TEXTJOIN("-",1,A25,F25)</f>
        <v>Samyang-3.78</v>
      </c>
      <c r="E25">
        <v>0</v>
      </c>
      <c r="F25" s="1">
        <v>3.78</v>
      </c>
      <c r="H25" s="1">
        <f t="shared" si="0"/>
        <v>4.5057599999999995</v>
      </c>
      <c r="I25" s="6">
        <v>1.1919999999999999</v>
      </c>
      <c r="K25" s="4">
        <v>87.73</v>
      </c>
      <c r="L25" s="3">
        <f t="shared" si="35"/>
        <v>19.470633145129792</v>
      </c>
      <c r="N25" s="3">
        <f>_xlfn.MAXIFS('P-0410 Sriracha'!$H:$H,'P-0410 Sriracha'!$I:$I,$F25)</f>
        <v>152.38095238095238</v>
      </c>
      <c r="O25" s="3">
        <f>_xlfn.MINIFS('P-0410 Sriracha'!$H:$H,'P-0410 Sriracha'!$I:$I,$F25)</f>
        <v>73.684210526315795</v>
      </c>
      <c r="P25" s="3">
        <f>AVERAGEIF('P-0410 Sriracha'!$I:$I,$F25,'P-0410 Sriracha'!$H:$H)</f>
        <v>113.03258145363409</v>
      </c>
      <c r="R25" s="3">
        <f t="shared" si="20"/>
        <v>686.59199999999987</v>
      </c>
      <c r="S25" s="3">
        <f t="shared" si="21"/>
        <v>332.00336842105264</v>
      </c>
      <c r="T25" s="3">
        <f t="shared" si="22"/>
        <v>509.29768421052631</v>
      </c>
      <c r="U25" s="3"/>
      <c r="V25" s="10">
        <f t="shared" si="23"/>
        <v>521.80991999999992</v>
      </c>
      <c r="W25" s="10">
        <f t="shared" si="24"/>
        <v>252.32256000000001</v>
      </c>
      <c r="X25" s="10">
        <f t="shared" si="25"/>
        <v>387.06623999999999</v>
      </c>
      <c r="Y25" s="16">
        <f t="shared" si="26"/>
        <v>0.83187364471721803</v>
      </c>
      <c r="Z25" s="16">
        <f t="shared" si="27"/>
        <v>0.65231012240839659</v>
      </c>
      <c r="AA25" s="16">
        <f t="shared" si="28"/>
        <v>0.77334628822188156</v>
      </c>
      <c r="AC25" s="16">
        <f t="shared" si="29"/>
        <v>0.65231012240839659</v>
      </c>
      <c r="AD25" s="16">
        <f t="shared" si="17"/>
        <v>0.63445833333333324</v>
      </c>
      <c r="AF25" s="10">
        <f t="shared" si="13"/>
        <v>252.32255999999998</v>
      </c>
      <c r="AG25" s="3">
        <v>240</v>
      </c>
      <c r="AH25" s="17">
        <v>0.24</v>
      </c>
      <c r="AI25" s="10">
        <f t="shared" si="15"/>
        <v>315.78947368421052</v>
      </c>
      <c r="AJ25" s="10">
        <f t="shared" si="30"/>
        <v>70.085728863545896</v>
      </c>
      <c r="AL25" s="16">
        <f t="shared" si="31"/>
        <v>-0.54006240433298003</v>
      </c>
      <c r="AM25" s="16">
        <f t="shared" si="32"/>
        <v>-4.8836536851877263E-2</v>
      </c>
      <c r="AN25" s="16">
        <f t="shared" si="33"/>
        <v>-0.37995109054202197</v>
      </c>
      <c r="AP25" s="10">
        <f t="shared" si="7"/>
        <v>152.26999999999998</v>
      </c>
      <c r="AQ25" s="3">
        <f t="shared" si="34"/>
        <v>33.794520791165084</v>
      </c>
    </row>
    <row r="26" spans="1:43" s="20" customFormat="1" x14ac:dyDescent="0.2">
      <c r="A26" s="20" t="s">
        <v>168</v>
      </c>
      <c r="C26" s="20" t="str">
        <f>_xlfn.TEXTJOIN("-",1,A26,F26)</f>
        <v>Samyang-0.946</v>
      </c>
      <c r="E26" s="20">
        <v>1</v>
      </c>
      <c r="F26" s="21">
        <v>0.94599999999999995</v>
      </c>
      <c r="G26" s="22"/>
      <c r="H26" s="21">
        <f t="shared" si="0"/>
        <v>1.127632</v>
      </c>
      <c r="I26" s="23">
        <v>1.1919999999999999</v>
      </c>
      <c r="J26" s="24"/>
      <c r="K26" s="25">
        <v>33.119999999999997</v>
      </c>
      <c r="L26" s="26">
        <f t="shared" si="35"/>
        <v>29.371284248762006</v>
      </c>
      <c r="M26" s="26"/>
      <c r="N26" s="26">
        <f>_xlfn.MAXIFS('P-0410 Sriracha'!$H:$H,'P-0410 Sriracha'!$I:$I,$F26)</f>
        <v>151.32408575031525</v>
      </c>
      <c r="O26" s="26">
        <f>_xlfn.MINIFS('P-0410 Sriracha'!$H:$H,'P-0410 Sriracha'!$I:$I,$F26)</f>
        <v>151.32408575031525</v>
      </c>
      <c r="P26" s="26">
        <f>AVERAGEIF('P-0410 Sriracha'!$I:$I,$F26,'P-0410 Sriracha'!$H:$H)</f>
        <v>151.32408575031525</v>
      </c>
      <c r="Q26" s="26"/>
      <c r="R26" s="26">
        <f t="shared" si="20"/>
        <v>170.63788146279947</v>
      </c>
      <c r="S26" s="26">
        <f t="shared" si="21"/>
        <v>170.63788146279947</v>
      </c>
      <c r="T26" s="26">
        <f t="shared" si="22"/>
        <v>170.63788146279947</v>
      </c>
      <c r="U26" s="26"/>
      <c r="V26" s="27">
        <f t="shared" si="23"/>
        <v>129.68478991172759</v>
      </c>
      <c r="W26" s="27">
        <f t="shared" si="24"/>
        <v>129.68478991172759</v>
      </c>
      <c r="X26" s="27">
        <f t="shared" si="25"/>
        <v>129.68478991172759</v>
      </c>
      <c r="Y26" s="28">
        <f t="shared" si="26"/>
        <v>0.74461153060012852</v>
      </c>
      <c r="Z26" s="28">
        <f t="shared" si="27"/>
        <v>0.74461153060012852</v>
      </c>
      <c r="AA26" s="28">
        <f t="shared" si="28"/>
        <v>0.74461153060012852</v>
      </c>
      <c r="AC26" s="28">
        <f t="shared" si="29"/>
        <v>0.74461153060012852</v>
      </c>
      <c r="AD26" s="28">
        <f t="shared" si="17"/>
        <v>0.58600000000000008</v>
      </c>
      <c r="AF26" s="27">
        <f t="shared" si="13"/>
        <v>129.68478991172756</v>
      </c>
      <c r="AG26" s="26">
        <v>80</v>
      </c>
      <c r="AH26" s="29">
        <v>0.24</v>
      </c>
      <c r="AI26" s="27">
        <f>ROUND(AG26/(1-AH26),0)</f>
        <v>105</v>
      </c>
      <c r="AJ26" s="27">
        <f t="shared" si="30"/>
        <v>93.115484484299841</v>
      </c>
      <c r="AL26" s="28">
        <f t="shared" si="31"/>
        <v>-0.38466184003291842</v>
      </c>
      <c r="AM26" s="28">
        <f t="shared" si="32"/>
        <v>-0.38466184003291842</v>
      </c>
      <c r="AN26" s="28">
        <f t="shared" si="33"/>
        <v>-0.38466184003291842</v>
      </c>
      <c r="AP26" s="27">
        <f t="shared" si="7"/>
        <v>46.88</v>
      </c>
      <c r="AQ26" s="26">
        <f t="shared" si="34"/>
        <v>41.573846786895018</v>
      </c>
    </row>
    <row r="27" spans="1:43" hidden="1" x14ac:dyDescent="0.2">
      <c r="A27" t="s">
        <v>168</v>
      </c>
      <c r="C27" t="str">
        <f>_xlfn.TEXTJOIN("-",1,A27,F27)</f>
        <v>Samyang-0.414</v>
      </c>
      <c r="E27">
        <v>0</v>
      </c>
      <c r="F27" s="1">
        <v>0.41399999999999998</v>
      </c>
      <c r="H27" s="1">
        <f t="shared" si="0"/>
        <v>0.49348799999999993</v>
      </c>
      <c r="I27" s="6">
        <v>1.1919999999999999</v>
      </c>
      <c r="K27" s="4">
        <v>17.89</v>
      </c>
      <c r="L27" s="3">
        <f t="shared" si="35"/>
        <v>36.252147975229391</v>
      </c>
      <c r="N27" s="3">
        <f>_xlfn.MAXIFS('P-0410 Sriracha'!$H:$H,'P-0410 Sriracha'!$I:$I,$F27)</f>
        <v>499.99999999999994</v>
      </c>
      <c r="O27" s="3">
        <f>_xlfn.MINIFS('P-0410 Sriracha'!$H:$H,'P-0410 Sriracha'!$I:$I,$F27)</f>
        <v>96</v>
      </c>
      <c r="P27" s="3">
        <f>AVERAGEIF('P-0410 Sriracha'!$I:$I,$F27,'P-0410 Sriracha'!$H:$H)</f>
        <v>261.43584055902932</v>
      </c>
      <c r="R27" s="3">
        <f t="shared" si="20"/>
        <v>246.74399999999994</v>
      </c>
      <c r="S27" s="3">
        <f t="shared" si="21"/>
        <v>47.374847999999993</v>
      </c>
      <c r="T27" s="3">
        <f t="shared" si="22"/>
        <v>129.01545008579424</v>
      </c>
      <c r="U27" s="3"/>
      <c r="V27" s="10">
        <f t="shared" si="23"/>
        <v>187.52543999999995</v>
      </c>
      <c r="W27" s="10">
        <f t="shared" si="24"/>
        <v>36.004884479999994</v>
      </c>
      <c r="X27" s="10">
        <f t="shared" si="25"/>
        <v>98.051742065203626</v>
      </c>
      <c r="Y27" s="16">
        <f t="shared" si="26"/>
        <v>0.90459961059150162</v>
      </c>
      <c r="Z27" s="16">
        <f t="shared" si="27"/>
        <v>0.50312297183073751</v>
      </c>
      <c r="AA27" s="16">
        <f t="shared" si="28"/>
        <v>0.81754531206489633</v>
      </c>
      <c r="AC27" s="16">
        <f t="shared" si="29"/>
        <v>0.50312297183073751</v>
      </c>
      <c r="AD27" s="16">
        <f t="shared" si="17"/>
        <v>0.55274999999999996</v>
      </c>
      <c r="AF27" s="10">
        <f t="shared" si="13"/>
        <v>36.004884479999994</v>
      </c>
      <c r="AG27" s="3">
        <v>40</v>
      </c>
      <c r="AH27" s="17">
        <v>0.24</v>
      </c>
      <c r="AI27" s="10">
        <f t="shared" si="15"/>
        <v>52.631578947368418</v>
      </c>
      <c r="AJ27" s="10">
        <f t="shared" si="30"/>
        <v>106.65219609670028</v>
      </c>
      <c r="AL27" s="16">
        <f t="shared" si="31"/>
        <v>-0.78669560780659942</v>
      </c>
      <c r="AM27" s="16">
        <f t="shared" si="32"/>
        <v>0.11096037600729454</v>
      </c>
      <c r="AN27" s="16">
        <f t="shared" si="33"/>
        <v>-0.59205212311882938</v>
      </c>
      <c r="AP27" s="10">
        <f t="shared" si="7"/>
        <v>22.11</v>
      </c>
      <c r="AQ27" s="3">
        <f t="shared" si="34"/>
        <v>44.803521058262824</v>
      </c>
    </row>
    <row r="28" spans="1:43" s="20" customFormat="1" x14ac:dyDescent="0.2">
      <c r="A28" s="20" t="s">
        <v>169</v>
      </c>
      <c r="C28" s="20" t="str">
        <f>_xlfn.TEXTJOIN("-",1,A28,F28)</f>
        <v>Agridulce-3.78</v>
      </c>
      <c r="E28" s="20">
        <v>1</v>
      </c>
      <c r="F28" s="21">
        <v>3.78</v>
      </c>
      <c r="G28" s="22"/>
      <c r="H28" s="21">
        <f t="shared" si="0"/>
        <v>4.7174399999999999</v>
      </c>
      <c r="I28" s="23">
        <v>1.248</v>
      </c>
      <c r="J28" s="24"/>
      <c r="K28" s="25">
        <v>84.65</v>
      </c>
      <c r="L28" s="26">
        <f t="shared" si="35"/>
        <v>17.944054402387739</v>
      </c>
      <c r="M28" s="26"/>
      <c r="N28" s="26">
        <f>_xlfn.MAXIFS('P-0403 - Ostion'!$H:$H,'P-0403 - Ostion'!$I:$I,$F28)</f>
        <v>167.40088105726872</v>
      </c>
      <c r="O28" s="26">
        <f>_xlfn.MINIFS('P-0403 - Ostion'!$H:$H,'P-0403 - Ostion'!$I:$I,$F28)</f>
        <v>65.454545454545453</v>
      </c>
      <c r="P28" s="26">
        <f>AVERAGEIF('P-0403 - Ostion'!$I:$I,$F28,'P-0403 - Ostion'!$H:$H)</f>
        <v>108.12615138165799</v>
      </c>
      <c r="Q28" s="26"/>
      <c r="R28" s="26">
        <f t="shared" si="20"/>
        <v>789.70361233480173</v>
      </c>
      <c r="S28" s="26">
        <f t="shared" si="21"/>
        <v>308.7778909090909</v>
      </c>
      <c r="T28" s="26">
        <f t="shared" si="22"/>
        <v>510.07863157388863</v>
      </c>
      <c r="U28" s="26"/>
      <c r="V28" s="27">
        <f t="shared" si="23"/>
        <v>600.17474537444934</v>
      </c>
      <c r="W28" s="27">
        <f t="shared" si="24"/>
        <v>234.67119709090909</v>
      </c>
      <c r="X28" s="27">
        <f t="shared" si="25"/>
        <v>387.65975999615534</v>
      </c>
      <c r="Y28" s="28">
        <f t="shared" si="26"/>
        <v>0.85895774413635684</v>
      </c>
      <c r="Z28" s="28">
        <f t="shared" si="27"/>
        <v>0.6392825321157436</v>
      </c>
      <c r="AA28" s="28">
        <f t="shared" si="28"/>
        <v>0.78163841405453194</v>
      </c>
      <c r="AC28" s="28">
        <f t="shared" si="29"/>
        <v>0.6392825321157436</v>
      </c>
      <c r="AD28" s="28">
        <f t="shared" si="17"/>
        <v>0.6472916666666666</v>
      </c>
      <c r="AF28" s="27">
        <f t="shared" si="13"/>
        <v>234.67119709090909</v>
      </c>
      <c r="AG28" s="26">
        <v>240</v>
      </c>
      <c r="AH28" s="29">
        <v>0.24</v>
      </c>
      <c r="AI28" s="27">
        <f>ROUND(AG28/(1-AH28),0)</f>
        <v>316</v>
      </c>
      <c r="AJ28" s="27">
        <f t="shared" si="30"/>
        <v>66.985483652150322</v>
      </c>
      <c r="AL28" s="28">
        <f t="shared" si="31"/>
        <v>-0.59984987397268097</v>
      </c>
      <c r="AM28" s="28">
        <f t="shared" si="32"/>
        <v>2.3389333574518792E-2</v>
      </c>
      <c r="AN28" s="28">
        <f t="shared" si="33"/>
        <v>-0.38048767299865788</v>
      </c>
      <c r="AP28" s="27">
        <f t="shared" si="7"/>
        <v>155.35</v>
      </c>
      <c r="AQ28" s="26">
        <f t="shared" si="34"/>
        <v>32.930996472663139</v>
      </c>
    </row>
    <row r="29" spans="1:43" hidden="1" x14ac:dyDescent="0.2">
      <c r="A29" t="s">
        <v>169</v>
      </c>
      <c r="C29" t="str">
        <f>_xlfn.TEXTJOIN("-",1,A29,F29)</f>
        <v>Agridulce-0.946</v>
      </c>
      <c r="E29">
        <v>0</v>
      </c>
      <c r="F29" s="1">
        <v>0.94599999999999995</v>
      </c>
      <c r="H29" s="1">
        <f t="shared" si="0"/>
        <v>1.1806079999999999</v>
      </c>
      <c r="I29" s="6">
        <v>1.248</v>
      </c>
      <c r="K29" s="4">
        <v>32.35</v>
      </c>
      <c r="L29" s="3">
        <f t="shared" si="35"/>
        <v>27.401135686019412</v>
      </c>
      <c r="N29" s="3">
        <f>_xlfn.MAXIFS('P-0403 - Ostion'!$H:$H,'P-0403 - Ostion'!$I:$I,$F29)</f>
        <v>95.649350649350652</v>
      </c>
      <c r="O29" s="3">
        <f>_xlfn.MINIFS('P-0403 - Ostion'!$H:$H,'P-0403 - Ostion'!$I:$I,$F29)</f>
        <v>95.649350649350652</v>
      </c>
      <c r="P29" s="3">
        <f>AVERAGEIF('P-0403 - Ostion'!$I:$I,$F29,'P-0403 - Ostion'!$H:$H)</f>
        <v>95.649350649350652</v>
      </c>
      <c r="R29" s="3">
        <f t="shared" si="20"/>
        <v>112.92438857142857</v>
      </c>
      <c r="S29" s="3">
        <f t="shared" si="21"/>
        <v>112.92438857142857</v>
      </c>
      <c r="T29" s="3">
        <f t="shared" si="22"/>
        <v>112.92438857142857</v>
      </c>
      <c r="U29" s="3"/>
      <c r="V29" s="10">
        <f t="shared" si="23"/>
        <v>85.822535314285716</v>
      </c>
      <c r="W29" s="10">
        <f t="shared" si="24"/>
        <v>85.822535314285716</v>
      </c>
      <c r="X29" s="10">
        <f t="shared" si="25"/>
        <v>85.822535314285716</v>
      </c>
      <c r="Y29" s="16">
        <f t="shared" si="26"/>
        <v>0.62305937617045515</v>
      </c>
      <c r="Z29" s="16">
        <f t="shared" si="27"/>
        <v>0.62305937617045515</v>
      </c>
      <c r="AA29" s="16">
        <f t="shared" si="28"/>
        <v>0.62305937617045515</v>
      </c>
      <c r="AC29" s="16">
        <f t="shared" si="29"/>
        <v>0.62305937617045515</v>
      </c>
      <c r="AD29" s="16">
        <f t="shared" si="17"/>
        <v>0.56866666666666665</v>
      </c>
      <c r="AF29" s="10">
        <f t="shared" si="13"/>
        <v>85.822535314285716</v>
      </c>
      <c r="AG29" s="3">
        <v>75</v>
      </c>
      <c r="AH29" s="17">
        <v>0.24</v>
      </c>
      <c r="AI29" s="10">
        <f t="shared" si="15"/>
        <v>98.684210526315795</v>
      </c>
      <c r="AJ29" s="10">
        <f t="shared" si="30"/>
        <v>83.587618012342631</v>
      </c>
      <c r="AL29" s="16">
        <f t="shared" si="31"/>
        <v>-0.12610365418188973</v>
      </c>
      <c r="AM29" s="16">
        <f t="shared" si="32"/>
        <v>-0.12610365418188973</v>
      </c>
      <c r="AN29" s="16">
        <f t="shared" si="33"/>
        <v>-0.12610365418188973</v>
      </c>
      <c r="AP29" s="10">
        <f t="shared" si="7"/>
        <v>42.65</v>
      </c>
      <c r="AQ29" s="3">
        <f t="shared" si="34"/>
        <v>36.125454003360986</v>
      </c>
    </row>
    <row r="30" spans="1:43" hidden="1" x14ac:dyDescent="0.2">
      <c r="A30" t="s">
        <v>169</v>
      </c>
      <c r="C30" t="str">
        <f>_xlfn.TEXTJOIN("-",1,A30,F30)</f>
        <v>Agridulce-0.414</v>
      </c>
      <c r="E30">
        <v>0</v>
      </c>
      <c r="F30" s="1">
        <v>0.41399999999999998</v>
      </c>
      <c r="H30" s="1">
        <f t="shared" si="0"/>
        <v>0.51667200000000002</v>
      </c>
      <c r="I30" s="6">
        <v>1.248</v>
      </c>
      <c r="K30" s="4">
        <v>17.559999999999999</v>
      </c>
      <c r="L30" s="3">
        <f t="shared" si="35"/>
        <v>33.986745943267678</v>
      </c>
      <c r="N30" s="3">
        <f>_xlfn.MAXIFS('P-0403 - Ostion'!$H:$H,'P-0403 - Ostion'!$I:$I,$F30)</f>
        <v>508</v>
      </c>
      <c r="O30" s="3">
        <f>_xlfn.MINIFS('P-0403 - Ostion'!$H:$H,'P-0403 - Ostion'!$I:$I,$F30)</f>
        <v>112.29166666666667</v>
      </c>
      <c r="P30" s="3">
        <f>AVERAGEIF('P-0403 - Ostion'!$I:$I,$F30,'P-0403 - Ostion'!$H:$H)</f>
        <v>236.53138448749533</v>
      </c>
      <c r="R30" s="3">
        <f t="shared" si="20"/>
        <v>262.46937600000001</v>
      </c>
      <c r="S30" s="3">
        <f t="shared" si="21"/>
        <v>58.017960000000002</v>
      </c>
      <c r="T30" s="3">
        <f t="shared" si="22"/>
        <v>122.20914348592319</v>
      </c>
      <c r="U30" s="3"/>
      <c r="V30" s="10">
        <f t="shared" si="23"/>
        <v>199.47672576000002</v>
      </c>
      <c r="W30" s="10">
        <f t="shared" si="24"/>
        <v>44.093649599999999</v>
      </c>
      <c r="X30" s="10">
        <f t="shared" si="25"/>
        <v>92.878949049301625</v>
      </c>
      <c r="Y30" s="16">
        <f t="shared" si="26"/>
        <v>0.91196968000604106</v>
      </c>
      <c r="Z30" s="16">
        <f t="shared" si="27"/>
        <v>0.60175671192343305</v>
      </c>
      <c r="AA30" s="16">
        <f t="shared" si="28"/>
        <v>0.81093670654392447</v>
      </c>
      <c r="AC30" s="16">
        <f t="shared" si="29"/>
        <v>0.60175671192343305</v>
      </c>
      <c r="AD30" s="16">
        <f t="shared" si="17"/>
        <v>0.56100000000000005</v>
      </c>
      <c r="AF30" s="10">
        <f t="shared" si="13"/>
        <v>44.093649599999992</v>
      </c>
      <c r="AG30" s="3">
        <v>40</v>
      </c>
      <c r="AH30" s="17">
        <v>0.24</v>
      </c>
      <c r="AI30" s="10">
        <f t="shared" si="15"/>
        <v>52.631578947368418</v>
      </c>
      <c r="AJ30" s="10">
        <f t="shared" si="30"/>
        <v>101.86652063082268</v>
      </c>
      <c r="AL30" s="16">
        <f t="shared" si="31"/>
        <v>-0.79947535308893181</v>
      </c>
      <c r="AM30" s="16">
        <f t="shared" si="32"/>
        <v>-9.2839890486180215E-2</v>
      </c>
      <c r="AN30" s="16">
        <f t="shared" si="33"/>
        <v>-0.56933190556702629</v>
      </c>
      <c r="AP30" s="10">
        <f t="shared" si="7"/>
        <v>22.44</v>
      </c>
      <c r="AQ30" s="3">
        <f t="shared" si="34"/>
        <v>43.431809736157561</v>
      </c>
    </row>
  </sheetData>
  <autoFilter ref="A1:AN30" xr:uid="{00000000-0001-0000-0000-000000000000}">
    <filterColumn colId="4">
      <filters>
        <filter val="1"/>
      </filters>
    </filterColumn>
  </autoFilter>
  <conditionalFormatting sqref="AL2:AN30">
    <cfRule type="cellIs" dxfId="10" priority="2" stopIfTrue="1" operator="lessThan">
      <formula>-0.2</formula>
    </cfRule>
    <cfRule type="cellIs" dxfId="9" priority="3" operator="greaterThan">
      <formula>0</formula>
    </cfRule>
  </conditionalFormatting>
  <conditionalFormatting sqref="AQ2:AQ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"/>
  <sheetViews>
    <sheetView workbookViewId="0">
      <selection activeCell="C49" sqref="C49"/>
    </sheetView>
  </sheetViews>
  <sheetFormatPr baseColWidth="10" defaultColWidth="8.83203125" defaultRowHeight="15" x14ac:dyDescent="0.2"/>
  <cols>
    <col min="1" max="1" width="12.5" customWidth="1"/>
    <col min="2" max="2" width="14.33203125" hidden="1" customWidth="1"/>
    <col min="3" max="3" width="15" bestFit="1" customWidth="1"/>
    <col min="4" max="4" width="22.83203125" hidden="1" customWidth="1"/>
    <col min="5" max="5" width="10.1640625" style="1" customWidth="1"/>
    <col min="6" max="6" width="8.6640625" style="8" customWidth="1"/>
    <col min="7" max="7" width="8" style="1" customWidth="1"/>
    <col min="8" max="8" width="7.5" customWidth="1"/>
    <col min="9" max="9" width="11.1640625" style="7" bestFit="1" customWidth="1"/>
    <col min="10" max="10" width="10" style="4" customWidth="1"/>
    <col min="11" max="11" width="10.33203125" style="3" customWidth="1"/>
    <col min="12" max="12" width="4" style="3" customWidth="1"/>
    <col min="13" max="13" width="9.5" style="3" customWidth="1"/>
    <col min="14" max="15" width="12.33203125" style="3" customWidth="1"/>
    <col min="16" max="16" width="3.5" style="3" customWidth="1"/>
    <col min="17" max="18" width="12.33203125" style="3" customWidth="1"/>
    <col min="20" max="20" width="3" customWidth="1"/>
    <col min="27" max="27" width="3.33203125" customWidth="1"/>
    <col min="28" max="29" width="10" customWidth="1"/>
    <col min="30" max="30" width="5" customWidth="1"/>
    <col min="35" max="35" width="3.33203125" customWidth="1"/>
  </cols>
  <sheetData>
    <row r="1" spans="1:41" s="2" customFormat="1" ht="64" x14ac:dyDescent="0.2">
      <c r="A1" s="11" t="s">
        <v>110</v>
      </c>
      <c r="B1" s="11" t="s">
        <v>0</v>
      </c>
      <c r="C1" s="11" t="s">
        <v>1</v>
      </c>
      <c r="D1" s="11" t="s">
        <v>2</v>
      </c>
      <c r="E1" s="12" t="s">
        <v>111</v>
      </c>
      <c r="F1" s="13" t="s">
        <v>3</v>
      </c>
      <c r="G1" s="12" t="s">
        <v>112</v>
      </c>
      <c r="H1" s="2" t="s">
        <v>109</v>
      </c>
      <c r="I1" s="14" t="s">
        <v>113</v>
      </c>
      <c r="J1" s="15" t="s">
        <v>14</v>
      </c>
      <c r="K1" s="9" t="s">
        <v>114</v>
      </c>
      <c r="L1" s="9"/>
      <c r="M1" s="9" t="s">
        <v>119</v>
      </c>
      <c r="N1" s="9" t="s">
        <v>120</v>
      </c>
      <c r="O1" s="9" t="s">
        <v>121</v>
      </c>
      <c r="P1" s="9"/>
      <c r="Q1" s="2" t="s">
        <v>124</v>
      </c>
      <c r="R1" s="2" t="s">
        <v>125</v>
      </c>
      <c r="S1" s="2" t="s">
        <v>123</v>
      </c>
      <c r="U1" s="2" t="s">
        <v>127</v>
      </c>
      <c r="V1" s="2" t="s">
        <v>128</v>
      </c>
      <c r="W1" s="2" t="s">
        <v>126</v>
      </c>
      <c r="X1" s="2" t="s">
        <v>130</v>
      </c>
      <c r="Y1" s="2" t="s">
        <v>131</v>
      </c>
      <c r="Z1" s="2" t="s">
        <v>129</v>
      </c>
      <c r="AB1" s="2" t="s">
        <v>150</v>
      </c>
      <c r="AC1" s="2" t="s">
        <v>151</v>
      </c>
      <c r="AE1" s="2" t="s">
        <v>132</v>
      </c>
      <c r="AF1" s="2" t="s">
        <v>149</v>
      </c>
      <c r="AG1" s="2" t="s">
        <v>133</v>
      </c>
      <c r="AH1" s="2" t="s">
        <v>162</v>
      </c>
      <c r="AJ1" s="2" t="s">
        <v>135</v>
      </c>
      <c r="AK1" s="2" t="s">
        <v>134</v>
      </c>
      <c r="AL1" s="2" t="s">
        <v>136</v>
      </c>
      <c r="AN1" s="2" t="s">
        <v>152</v>
      </c>
      <c r="AO1" s="2" t="s">
        <v>153</v>
      </c>
    </row>
    <row r="2" spans="1:41" x14ac:dyDescent="0.2">
      <c r="A2" t="s">
        <v>138</v>
      </c>
      <c r="B2" t="s">
        <v>6</v>
      </c>
      <c r="C2" t="str">
        <f>_xlfn.TEXTJOIN("-",1,A2,E2)</f>
        <v>Teriyaki-3.78</v>
      </c>
      <c r="D2" t="s">
        <v>7</v>
      </c>
      <c r="E2" s="1">
        <v>3.78</v>
      </c>
      <c r="F2" s="8">
        <v>212</v>
      </c>
      <c r="G2" s="1">
        <f>1000/F2</f>
        <v>4.716981132075472</v>
      </c>
      <c r="H2" s="6">
        <v>1.2478786063691725</v>
      </c>
      <c r="I2" s="7">
        <v>20767.5098</v>
      </c>
      <c r="J2" s="4">
        <f>I2/F2</f>
        <v>97.959951886792453</v>
      </c>
      <c r="K2" s="3">
        <f>J2/G2</f>
        <v>20.767509799999999</v>
      </c>
      <c r="M2" s="3">
        <f>_xlfn.MAXIFS('P-0404 Teriyaki'!$H:$H,'P-0404 Teriyaki'!$I:$I,$E2)</f>
        <v>188.10572687224669</v>
      </c>
      <c r="N2" s="3">
        <f>_xlfn.MINIFS('P-0404 Teriyaki'!$H:$H,'P-0404 Teriyaki'!$I:$I,$E2)</f>
        <v>68.684210526315795</v>
      </c>
      <c r="O2" s="3">
        <f>AVERAGEIF('P-0404 Teriyaki'!$I:$I,$E2,'P-0404 Teriyaki'!$H:$H)</f>
        <v>130.93583352654764</v>
      </c>
      <c r="Q2" s="3">
        <f t="shared" ref="Q2:Q17" si="0">M2*$G2</f>
        <v>887.29116449172977</v>
      </c>
      <c r="R2" s="3">
        <f t="shared" ref="R2:R17" si="1">N2*$G2</f>
        <v>323.98212512413113</v>
      </c>
      <c r="S2" s="3">
        <f>O2*$G2</f>
        <v>617.62185625730024</v>
      </c>
      <c r="T2" s="3"/>
      <c r="U2" s="10">
        <f t="shared" ref="U2:V2" si="2">Q2*0.76</f>
        <v>674.34128501371458</v>
      </c>
      <c r="V2" s="10">
        <f t="shared" si="2"/>
        <v>246.22641509433967</v>
      </c>
      <c r="W2" s="10">
        <f>S2*0.76</f>
        <v>469.39261075554816</v>
      </c>
      <c r="X2" s="16">
        <f t="shared" ref="X2:X17" si="3">(U2-$J2)/U2</f>
        <v>0.854732382454086</v>
      </c>
      <c r="Y2" s="16">
        <f t="shared" ref="Y2:Y17" si="4">(V2-$J2)/V2</f>
        <v>0.6021549846743296</v>
      </c>
      <c r="Z2" s="16">
        <f>(W2-$J2)/W2</f>
        <v>0.7913048700764308</v>
      </c>
      <c r="AB2" s="16">
        <f>IF(Y2&gt;0.5,Y2,0.5)</f>
        <v>0.6021549846743296</v>
      </c>
      <c r="AC2" s="16">
        <v>0.6021549846743296</v>
      </c>
      <c r="AE2" s="3">
        <f>J2/(1-AC2)</f>
        <v>246.22641509433967</v>
      </c>
      <c r="AF2" s="17">
        <v>0.24</v>
      </c>
      <c r="AG2" s="10">
        <f>AE2/(1-AF2)</f>
        <v>323.98212512413113</v>
      </c>
      <c r="AH2" s="10">
        <f>AG2/G2</f>
        <v>68.684210526315795</v>
      </c>
      <c r="AJ2" s="16">
        <f t="shared" ref="AJ2:AJ17" si="5">($AG2-Q2)/Q2</f>
        <v>-0.63486379884136568</v>
      </c>
      <c r="AK2" s="16">
        <f t="shared" ref="AK2:AK17" si="6">($AG2-R2)/R2</f>
        <v>0</v>
      </c>
      <c r="AL2" s="16">
        <f t="shared" ref="AL2:AL17" si="7">($AG2-S2)/S2</f>
        <v>-0.47543610731748343</v>
      </c>
      <c r="AN2" s="10">
        <f t="shared" ref="AN2:AN17" si="8">AE2-J2</f>
        <v>148.26646320754722</v>
      </c>
      <c r="AO2" s="3">
        <f t="shared" ref="AO2:AO17" si="9">AN2/G2</f>
        <v>31.432490200000007</v>
      </c>
    </row>
    <row r="3" spans="1:41" x14ac:dyDescent="0.2">
      <c r="A3" t="s">
        <v>138</v>
      </c>
      <c r="C3" t="str">
        <f t="shared" ref="C3:C17" si="10">_xlfn.TEXTJOIN("-",1,A3,E3)</f>
        <v>Teriyaki-0.946</v>
      </c>
      <c r="D3" t="s">
        <v>122</v>
      </c>
      <c r="E3" s="1">
        <v>0.94599999999999995</v>
      </c>
      <c r="F3" s="8">
        <f>ROUND(1000/G3,0)</f>
        <v>847</v>
      </c>
      <c r="G3" s="1">
        <f t="shared" ref="G3:G17" si="11">E3*H3</f>
        <v>1.1804931616252372</v>
      </c>
      <c r="H3" s="6">
        <v>1.2478786063691725</v>
      </c>
      <c r="I3" s="7">
        <v>28326</v>
      </c>
      <c r="J3" s="4">
        <f t="shared" ref="J3:J17" si="12">I3/F3</f>
        <v>33.442739079102715</v>
      </c>
      <c r="K3" s="3">
        <f t="shared" ref="K3:K17" si="13">J3/G3</f>
        <v>28.329464469798889</v>
      </c>
      <c r="M3" s="3">
        <f>_xlfn.MAXIFS('P-0404 Teriyaki'!$H:$H,'P-0404 Teriyaki'!$I:$I,$E3)</f>
        <v>0</v>
      </c>
      <c r="N3" s="3">
        <f>_xlfn.MINIFS('P-0404 Teriyaki'!$H:$H,'P-0404 Teriyaki'!$I:$I,$E3)</f>
        <v>0</v>
      </c>
      <c r="O3" s="3">
        <f>IFERROR(AVERAGEIF('P-0404 Teriyaki'!$I:$I,$E3,'P-0404 Teriyaki'!$H:$H),0)</f>
        <v>0</v>
      </c>
      <c r="Q3" s="3">
        <f t="shared" si="0"/>
        <v>0</v>
      </c>
      <c r="R3" s="3">
        <f t="shared" si="1"/>
        <v>0</v>
      </c>
      <c r="S3" s="3">
        <f t="shared" ref="S3:S17" si="14">O3*$G3</f>
        <v>0</v>
      </c>
      <c r="T3" s="3"/>
      <c r="U3" s="10">
        <f t="shared" ref="U3:W17" si="15">Q3*0.76</f>
        <v>0</v>
      </c>
      <c r="V3" s="10">
        <f t="shared" si="15"/>
        <v>0</v>
      </c>
      <c r="W3" s="10">
        <f t="shared" si="15"/>
        <v>0</v>
      </c>
      <c r="X3" s="16">
        <f t="shared" ref="X3:Z3" si="16">IFERROR((U3-$J3)/U3,0)</f>
        <v>0</v>
      </c>
      <c r="Y3" s="16">
        <f t="shared" si="16"/>
        <v>0</v>
      </c>
      <c r="Z3" s="16">
        <f t="shared" si="16"/>
        <v>0</v>
      </c>
      <c r="AB3" s="16">
        <f t="shared" ref="AB3:AB17" si="17">IF(Y3&gt;0.5,Y3,0.5)</f>
        <v>0.5</v>
      </c>
      <c r="AC3" s="16">
        <v>0.5</v>
      </c>
      <c r="AE3" s="3">
        <f t="shared" ref="AE3:AE17" si="18">J3/(1-AC3)</f>
        <v>66.88547815820543</v>
      </c>
      <c r="AF3" s="17">
        <v>0.24</v>
      </c>
      <c r="AG3" s="10">
        <f t="shared" ref="AG3:AG17" si="19">AE3/(1-AF3)</f>
        <v>88.007208102901885</v>
      </c>
      <c r="AH3" s="10">
        <f t="shared" ref="AH3:AH17" si="20">AG3/G3</f>
        <v>74.551222288944444</v>
      </c>
      <c r="AJ3" s="16" t="e">
        <f t="shared" si="5"/>
        <v>#DIV/0!</v>
      </c>
      <c r="AK3" s="16" t="e">
        <f t="shared" si="6"/>
        <v>#DIV/0!</v>
      </c>
      <c r="AL3" s="16" t="e">
        <f t="shared" si="7"/>
        <v>#DIV/0!</v>
      </c>
      <c r="AN3" s="10">
        <f t="shared" si="8"/>
        <v>33.442739079102715</v>
      </c>
      <c r="AO3" s="3">
        <f t="shared" si="9"/>
        <v>28.329464469798889</v>
      </c>
    </row>
    <row r="4" spans="1:41" x14ac:dyDescent="0.2">
      <c r="A4" t="s">
        <v>138</v>
      </c>
      <c r="C4" t="str">
        <f t="shared" si="10"/>
        <v>Teriyaki-0.414</v>
      </c>
      <c r="D4" t="s">
        <v>99</v>
      </c>
      <c r="E4" s="1">
        <v>0.41399999999999998</v>
      </c>
      <c r="F4" s="8">
        <f>ROUND(1000/G4,0)</f>
        <v>1936</v>
      </c>
      <c r="G4" s="1">
        <f t="shared" si="11"/>
        <v>0.51662174303683739</v>
      </c>
      <c r="H4" s="6">
        <v>1.2478786063691725</v>
      </c>
      <c r="I4" s="7">
        <v>34710</v>
      </c>
      <c r="J4" s="4">
        <f t="shared" si="12"/>
        <v>17.928719008264462</v>
      </c>
      <c r="K4" s="3">
        <f t="shared" si="13"/>
        <v>34.70376392382321</v>
      </c>
      <c r="M4" s="3">
        <f>_xlfn.MAXIFS('P-0404 Teriyaki'!$H:$H,'P-0404 Teriyaki'!$I:$I,$E4)</f>
        <v>540</v>
      </c>
      <c r="N4" s="3">
        <f>_xlfn.MINIFS('P-0404 Teriyaki'!$H:$H,'P-0404 Teriyaki'!$I:$I,$E4)</f>
        <v>111.42857142857143</v>
      </c>
      <c r="O4" s="3">
        <f>AVERAGEIF('P-0404 Teriyaki'!$I:$I,$E4,'P-0404 Teriyaki'!$H:$H)</f>
        <v>251.92644679409148</v>
      </c>
      <c r="Q4" s="3">
        <f t="shared" si="0"/>
        <v>278.97574123989222</v>
      </c>
      <c r="R4" s="3">
        <f t="shared" si="1"/>
        <v>57.566422795533313</v>
      </c>
      <c r="S4" s="3">
        <f t="shared" si="14"/>
        <v>130.15068005984062</v>
      </c>
      <c r="T4" s="3"/>
      <c r="U4" s="10">
        <f t="shared" si="15"/>
        <v>212.02156334231807</v>
      </c>
      <c r="V4" s="10">
        <f t="shared" si="15"/>
        <v>43.750481324605317</v>
      </c>
      <c r="W4" s="10">
        <f t="shared" si="15"/>
        <v>98.914516845478872</v>
      </c>
      <c r="X4" s="16">
        <f t="shared" si="3"/>
        <v>0.91543917172557698</v>
      </c>
      <c r="Y4" s="16">
        <f t="shared" si="4"/>
        <v>0.59020521682395</v>
      </c>
      <c r="Z4" s="16">
        <f t="shared" ref="Z4:Z17" si="21">(W4-$J4)/W4</f>
        <v>0.81874532090904162</v>
      </c>
      <c r="AB4" s="16">
        <f t="shared" si="17"/>
        <v>0.59020521682395</v>
      </c>
      <c r="AC4" s="16">
        <v>0.59020521682395</v>
      </c>
      <c r="AE4" s="3">
        <f t="shared" si="18"/>
        <v>43.750481324605317</v>
      </c>
      <c r="AF4" s="17">
        <v>0.24</v>
      </c>
      <c r="AG4" s="10">
        <f t="shared" si="19"/>
        <v>57.566422795533313</v>
      </c>
      <c r="AH4" s="10">
        <f t="shared" si="20"/>
        <v>111.42857142857143</v>
      </c>
      <c r="AJ4" s="16">
        <f t="shared" si="5"/>
        <v>-0.79365079365079372</v>
      </c>
      <c r="AK4" s="16">
        <f t="shared" si="6"/>
        <v>0</v>
      </c>
      <c r="AL4" s="16">
        <f t="shared" si="7"/>
        <v>-0.55769402995769635</v>
      </c>
      <c r="AN4" s="10">
        <f t="shared" si="8"/>
        <v>25.821762316340855</v>
      </c>
      <c r="AO4" s="3">
        <f t="shared" si="9"/>
        <v>49.98195036189108</v>
      </c>
    </row>
    <row r="5" spans="1:41" x14ac:dyDescent="0.2">
      <c r="A5" t="s">
        <v>139</v>
      </c>
      <c r="B5" t="s">
        <v>10</v>
      </c>
      <c r="C5" t="str">
        <f t="shared" si="10"/>
        <v>Sriracha-3.78</v>
      </c>
      <c r="D5" t="s">
        <v>11</v>
      </c>
      <c r="E5" s="1">
        <v>3.78</v>
      </c>
      <c r="F5" s="8">
        <v>222</v>
      </c>
      <c r="G5" s="1">
        <f t="shared" si="11"/>
        <v>4.5045045045045047</v>
      </c>
      <c r="H5" s="6">
        <v>1.191667858334525</v>
      </c>
      <c r="I5" s="7">
        <v>20967.2968</v>
      </c>
      <c r="J5" s="4">
        <f t="shared" si="12"/>
        <v>94.447282882882888</v>
      </c>
      <c r="K5" s="3">
        <f t="shared" si="13"/>
        <v>20.9672968</v>
      </c>
      <c r="M5" s="3">
        <f>_xlfn.MAXIFS('P-0410 Sriracha'!$H:$H,'P-0410 Sriracha'!$I:$I,$E5)</f>
        <v>152.38095238095238</v>
      </c>
      <c r="N5" s="3">
        <f>_xlfn.MINIFS('P-0410 Sriracha'!$H:$H,'P-0410 Sriracha'!$I:$I,$E5)</f>
        <v>73.684210526315795</v>
      </c>
      <c r="O5" s="3">
        <f>AVERAGEIF('P-0410 Sriracha'!$I:$I,$E5,'P-0410 Sriracha'!$H:$H)</f>
        <v>113.03258145363409</v>
      </c>
      <c r="Q5" s="3">
        <f t="shared" si="0"/>
        <v>686.40068640068637</v>
      </c>
      <c r="R5" s="3">
        <f t="shared" si="1"/>
        <v>331.91085822664775</v>
      </c>
      <c r="S5" s="3">
        <f t="shared" si="14"/>
        <v>509.15577231366711</v>
      </c>
      <c r="T5" s="3"/>
      <c r="U5" s="10">
        <f t="shared" si="15"/>
        <v>521.66452166452166</v>
      </c>
      <c r="V5" s="10">
        <f t="shared" si="15"/>
        <v>252.2522522522523</v>
      </c>
      <c r="W5" s="10">
        <f t="shared" si="15"/>
        <v>386.958386958387</v>
      </c>
      <c r="X5" s="16">
        <f t="shared" si="3"/>
        <v>0.8189501509868421</v>
      </c>
      <c r="Y5" s="16">
        <f t="shared" si="4"/>
        <v>0.62558398571428575</v>
      </c>
      <c r="Z5" s="16">
        <f t="shared" si="21"/>
        <v>0.75592392860310431</v>
      </c>
      <c r="AB5" s="16">
        <f t="shared" si="17"/>
        <v>0.62558398571428575</v>
      </c>
      <c r="AC5" s="16">
        <v>0.62558398571428575</v>
      </c>
      <c r="AE5" s="3">
        <f t="shared" si="18"/>
        <v>252.2522522522523</v>
      </c>
      <c r="AF5" s="17">
        <v>0.24</v>
      </c>
      <c r="AG5" s="10">
        <f t="shared" si="19"/>
        <v>331.91085822664775</v>
      </c>
      <c r="AH5" s="10">
        <f t="shared" si="20"/>
        <v>73.684210526315795</v>
      </c>
      <c r="AJ5" s="16">
        <f t="shared" si="5"/>
        <v>-0.51644736842105254</v>
      </c>
      <c r="AK5" s="16">
        <f t="shared" si="6"/>
        <v>0</v>
      </c>
      <c r="AL5" s="16">
        <f t="shared" si="7"/>
        <v>-0.3481152993348115</v>
      </c>
      <c r="AN5" s="10">
        <f t="shared" si="8"/>
        <v>157.80496936936942</v>
      </c>
      <c r="AO5" s="3">
        <f t="shared" si="9"/>
        <v>35.032703200000007</v>
      </c>
    </row>
    <row r="6" spans="1:41" x14ac:dyDescent="0.2">
      <c r="A6" t="s">
        <v>139</v>
      </c>
      <c r="C6" t="str">
        <f t="shared" si="10"/>
        <v>Sriracha-0.946</v>
      </c>
      <c r="D6" t="s">
        <v>105</v>
      </c>
      <c r="E6" s="1">
        <v>0.94599999999999995</v>
      </c>
      <c r="F6" s="8">
        <f>ROUND(1000/G6,0)</f>
        <v>887</v>
      </c>
      <c r="G6" s="1">
        <f t="shared" si="11"/>
        <v>1.1273177939844605</v>
      </c>
      <c r="H6" s="6">
        <v>1.191667858334525</v>
      </c>
      <c r="I6" s="7">
        <v>27472</v>
      </c>
      <c r="J6" s="4">
        <f t="shared" si="12"/>
        <v>30.971815107102593</v>
      </c>
      <c r="K6" s="3">
        <f t="shared" si="13"/>
        <v>27.473898906211645</v>
      </c>
      <c r="M6" s="3">
        <f>_xlfn.MAXIFS('P-0410 Sriracha'!$H:$H,'P-0410 Sriracha'!$I:$I,$E6)</f>
        <v>151.32408575031525</v>
      </c>
      <c r="N6" s="3">
        <f>_xlfn.MINIFS('P-0410 Sriracha'!$H:$H,'P-0410 Sriracha'!$I:$I,$E6)</f>
        <v>151.32408575031525</v>
      </c>
      <c r="O6" s="3">
        <f>AVERAGEIF('P-0410 Sriracha'!$I:$I,$E6,'P-0410 Sriracha'!$H:$H)</f>
        <v>151.32408575031525</v>
      </c>
      <c r="Q6" s="3">
        <f t="shared" si="0"/>
        <v>170.59033452476072</v>
      </c>
      <c r="R6" s="3">
        <f t="shared" si="1"/>
        <v>170.59033452476072</v>
      </c>
      <c r="S6" s="3">
        <f t="shared" si="14"/>
        <v>170.59033452476072</v>
      </c>
      <c r="T6" s="3"/>
      <c r="U6" s="10">
        <f t="shared" si="15"/>
        <v>129.64865423881815</v>
      </c>
      <c r="V6" s="10">
        <f t="shared" si="15"/>
        <v>129.64865423881815</v>
      </c>
      <c r="W6" s="10">
        <f t="shared" si="15"/>
        <v>129.64865423881815</v>
      </c>
      <c r="X6" s="16">
        <f t="shared" si="3"/>
        <v>0.76110962902822543</v>
      </c>
      <c r="Y6" s="16">
        <f t="shared" si="4"/>
        <v>0.76110962902822543</v>
      </c>
      <c r="Z6" s="16">
        <f t="shared" si="21"/>
        <v>0.76110962902822543</v>
      </c>
      <c r="AB6" s="16">
        <f t="shared" si="17"/>
        <v>0.76110962902822543</v>
      </c>
      <c r="AC6" s="16">
        <v>0.6</v>
      </c>
      <c r="AE6" s="3">
        <f t="shared" si="18"/>
        <v>77.429537767756472</v>
      </c>
      <c r="AF6" s="17">
        <v>0.24</v>
      </c>
      <c r="AG6" s="10">
        <f t="shared" si="19"/>
        <v>101.88097074704798</v>
      </c>
      <c r="AH6" s="10">
        <f t="shared" si="20"/>
        <v>90.374667454643543</v>
      </c>
      <c r="AJ6" s="16">
        <f t="shared" si="5"/>
        <v>-0.40277407257056386</v>
      </c>
      <c r="AK6" s="16">
        <f t="shared" si="6"/>
        <v>-0.40277407257056386</v>
      </c>
      <c r="AL6" s="16">
        <f t="shared" si="7"/>
        <v>-0.40277407257056386</v>
      </c>
      <c r="AN6" s="10">
        <f t="shared" si="8"/>
        <v>46.457722660653879</v>
      </c>
      <c r="AO6" s="3">
        <f t="shared" si="9"/>
        <v>41.210848359317453</v>
      </c>
    </row>
    <row r="7" spans="1:41" x14ac:dyDescent="0.2">
      <c r="A7" t="s">
        <v>139</v>
      </c>
      <c r="C7" t="str">
        <f t="shared" si="10"/>
        <v>Sriracha-0.414</v>
      </c>
      <c r="D7" t="s">
        <v>106</v>
      </c>
      <c r="E7" s="1">
        <v>0.41399999999999998</v>
      </c>
      <c r="F7" s="8">
        <f>ROUND(1000/G7,0)</f>
        <v>2027</v>
      </c>
      <c r="G7" s="1">
        <f t="shared" si="11"/>
        <v>0.49335049335049336</v>
      </c>
      <c r="H7" s="6">
        <v>1.191667858334525</v>
      </c>
      <c r="I7" s="7">
        <v>35571</v>
      </c>
      <c r="J7" s="4">
        <f t="shared" si="12"/>
        <v>17.548593981253084</v>
      </c>
      <c r="K7" s="3">
        <f t="shared" si="13"/>
        <v>35.570237017652993</v>
      </c>
      <c r="M7" s="3">
        <f>_xlfn.MAXIFS('P-0410 Sriracha'!$H:$H,'P-0410 Sriracha'!$I:$I,$E7)</f>
        <v>499.99999999999994</v>
      </c>
      <c r="N7" s="3">
        <f>_xlfn.MINIFS('P-0410 Sriracha'!$H:$H,'P-0410 Sriracha'!$I:$I,$E7)</f>
        <v>96</v>
      </c>
      <c r="O7" s="3">
        <f>AVERAGEIF('P-0410 Sriracha'!$I:$I,$E7,'P-0410 Sriracha'!$H:$H)</f>
        <v>261.43584055902932</v>
      </c>
      <c r="Q7" s="3">
        <f t="shared" si="0"/>
        <v>246.67524667524665</v>
      </c>
      <c r="R7" s="3">
        <f t="shared" si="1"/>
        <v>47.361647361647364</v>
      </c>
      <c r="S7" s="3">
        <f t="shared" si="14"/>
        <v>128.97950091929803</v>
      </c>
      <c r="T7" s="3"/>
      <c r="U7" s="10">
        <f t="shared" si="15"/>
        <v>187.47318747318747</v>
      </c>
      <c r="V7" s="10">
        <f t="shared" si="15"/>
        <v>35.994851994851999</v>
      </c>
      <c r="W7" s="10">
        <f t="shared" si="15"/>
        <v>98.024420698666503</v>
      </c>
      <c r="X7" s="16">
        <f t="shared" si="3"/>
        <v>0.90639411311143958</v>
      </c>
      <c r="Y7" s="16">
        <f t="shared" si="4"/>
        <v>0.51246933912208081</v>
      </c>
      <c r="Z7" s="16">
        <f t="shared" si="21"/>
        <v>0.82097732528102751</v>
      </c>
      <c r="AB7" s="16">
        <f t="shared" si="17"/>
        <v>0.51246933912208081</v>
      </c>
      <c r="AC7" s="16">
        <v>0.6</v>
      </c>
      <c r="AE7" s="3">
        <f t="shared" si="18"/>
        <v>43.871484953132708</v>
      </c>
      <c r="AF7" s="17">
        <v>0.24</v>
      </c>
      <c r="AG7" s="10">
        <f t="shared" si="19"/>
        <v>57.725638096227243</v>
      </c>
      <c r="AH7" s="10">
        <f t="shared" si="20"/>
        <v>117.00735861070061</v>
      </c>
      <c r="AJ7" s="16">
        <f t="shared" si="5"/>
        <v>-0.76598528277859879</v>
      </c>
      <c r="AK7" s="16">
        <f t="shared" si="6"/>
        <v>0.21882665219479797</v>
      </c>
      <c r="AL7" s="16">
        <f t="shared" si="7"/>
        <v>-0.5524433132025689</v>
      </c>
      <c r="AN7" s="10">
        <f t="shared" si="8"/>
        <v>26.322890971879623</v>
      </c>
      <c r="AO7" s="3">
        <f t="shared" si="9"/>
        <v>53.355355526479478</v>
      </c>
    </row>
    <row r="8" spans="1:41" x14ac:dyDescent="0.2">
      <c r="A8" t="s">
        <v>141</v>
      </c>
      <c r="B8" t="s">
        <v>12</v>
      </c>
      <c r="C8" t="str">
        <f t="shared" si="10"/>
        <v>Soya-3.78</v>
      </c>
      <c r="D8" t="s">
        <v>13</v>
      </c>
      <c r="E8" s="1">
        <v>3.78</v>
      </c>
      <c r="F8" s="8">
        <v>250</v>
      </c>
      <c r="G8" s="1">
        <f t="shared" si="11"/>
        <v>4</v>
      </c>
      <c r="H8" s="6">
        <v>1.0582010582010584</v>
      </c>
      <c r="I8" s="7">
        <v>14286.392900000001</v>
      </c>
      <c r="J8" s="4">
        <f t="shared" si="12"/>
        <v>57.145571600000004</v>
      </c>
      <c r="K8" s="3">
        <f t="shared" si="13"/>
        <v>14.286392900000001</v>
      </c>
      <c r="M8" s="3">
        <f>_xlfn.MAXIFS('P-0402 Soya'!$H:$H,'P-0402 Soya'!$I:$I,$E8)</f>
        <v>174.07407407407408</v>
      </c>
      <c r="N8" s="3">
        <f>_xlfn.MINIFS('P-0402 Soya'!$H:$H,'P-0402 Soya'!$I:$I,$E8)</f>
        <v>22.8</v>
      </c>
      <c r="O8" s="3">
        <f>AVERAGEIF('P-0402 Soya'!$I:$I,$E8,'P-0402 Soya'!$H:$H)</f>
        <v>89.761603835978846</v>
      </c>
      <c r="Q8" s="3">
        <f t="shared" si="0"/>
        <v>696.2962962962963</v>
      </c>
      <c r="R8" s="3">
        <f t="shared" si="1"/>
        <v>91.2</v>
      </c>
      <c r="S8" s="3">
        <f t="shared" si="14"/>
        <v>359.04641534391538</v>
      </c>
      <c r="T8" s="3"/>
      <c r="U8" s="10">
        <f t="shared" si="15"/>
        <v>529.18518518518522</v>
      </c>
      <c r="V8" s="10">
        <f t="shared" si="15"/>
        <v>69.311999999999998</v>
      </c>
      <c r="W8" s="10">
        <f t="shared" si="15"/>
        <v>272.87527566137567</v>
      </c>
      <c r="X8" s="16">
        <f t="shared" si="3"/>
        <v>0.89201214773236281</v>
      </c>
      <c r="Y8" s="16">
        <f t="shared" si="4"/>
        <v>0.17553134233610335</v>
      </c>
      <c r="Z8" s="16">
        <f t="shared" si="21"/>
        <v>0.7905798850354081</v>
      </c>
      <c r="AB8" s="16">
        <f t="shared" si="17"/>
        <v>0.5</v>
      </c>
      <c r="AC8" s="16">
        <v>0.4</v>
      </c>
      <c r="AE8" s="3">
        <f t="shared" si="18"/>
        <v>95.242619333333337</v>
      </c>
      <c r="AF8" s="17">
        <v>0.17</v>
      </c>
      <c r="AG8" s="10">
        <f t="shared" si="19"/>
        <v>114.75014377510041</v>
      </c>
      <c r="AH8" s="10">
        <f t="shared" si="20"/>
        <v>28.687535943775103</v>
      </c>
      <c r="AJ8" s="16">
        <f t="shared" si="5"/>
        <v>-0.83519926159958979</v>
      </c>
      <c r="AK8" s="16">
        <f t="shared" si="6"/>
        <v>0.25822526069189045</v>
      </c>
      <c r="AL8" s="16">
        <f t="shared" si="7"/>
        <v>-0.680403037403434</v>
      </c>
      <c r="AN8" s="10">
        <f t="shared" si="8"/>
        <v>38.097047733333333</v>
      </c>
      <c r="AO8" s="3">
        <f t="shared" si="9"/>
        <v>9.5242619333333334</v>
      </c>
    </row>
    <row r="9" spans="1:41" x14ac:dyDescent="0.2">
      <c r="A9" t="s">
        <v>141</v>
      </c>
      <c r="C9" t="str">
        <f t="shared" si="10"/>
        <v>Soya-20</v>
      </c>
      <c r="D9" t="s">
        <v>102</v>
      </c>
      <c r="E9" s="1">
        <v>20</v>
      </c>
      <c r="F9" s="8">
        <f>ROUND(1000/G9,0)</f>
        <v>47</v>
      </c>
      <c r="G9" s="1">
        <f t="shared" si="11"/>
        <v>21.164021164021168</v>
      </c>
      <c r="H9" s="6">
        <v>1.0582010582010584</v>
      </c>
      <c r="I9" s="7">
        <v>12382.71</v>
      </c>
      <c r="J9" s="4">
        <f t="shared" si="12"/>
        <v>263.46191489361701</v>
      </c>
      <c r="K9" s="3">
        <f t="shared" si="13"/>
        <v>12.4485754787234</v>
      </c>
      <c r="M9" s="3">
        <f>_xlfn.MAXIFS('P-0402 Soya'!$H:$H,'P-0402 Soya'!$I:$I,$E9)</f>
        <v>24.2</v>
      </c>
      <c r="N9" s="3">
        <f>_xlfn.MINIFS('P-0402 Soya'!$H:$H,'P-0402 Soya'!$I:$I,$E9)</f>
        <v>24.2</v>
      </c>
      <c r="O9" s="3">
        <f>AVERAGEIF('P-0402 Soya'!$I:$I,$E9,'P-0402 Soya'!$H:$H)</f>
        <v>24.2</v>
      </c>
      <c r="Q9" s="3">
        <f t="shared" si="0"/>
        <v>512.16931216931221</v>
      </c>
      <c r="R9" s="3">
        <f t="shared" si="1"/>
        <v>512.16931216931221</v>
      </c>
      <c r="S9" s="3">
        <f t="shared" si="14"/>
        <v>512.16931216931221</v>
      </c>
      <c r="T9" s="3"/>
      <c r="U9" s="10">
        <f t="shared" si="15"/>
        <v>389.24867724867727</v>
      </c>
      <c r="V9" s="10">
        <f t="shared" si="15"/>
        <v>389.24867724867727</v>
      </c>
      <c r="W9" s="10">
        <f t="shared" si="15"/>
        <v>389.24867724867727</v>
      </c>
      <c r="X9" s="16">
        <f t="shared" si="3"/>
        <v>0.32315270341869273</v>
      </c>
      <c r="Y9" s="16">
        <f t="shared" si="4"/>
        <v>0.32315270341869273</v>
      </c>
      <c r="Z9" s="16">
        <f t="shared" si="21"/>
        <v>0.32315270341869273</v>
      </c>
      <c r="AB9" s="16">
        <f t="shared" si="17"/>
        <v>0.5</v>
      </c>
      <c r="AC9" s="16">
        <v>0.4</v>
      </c>
      <c r="AE9" s="3">
        <f t="shared" si="18"/>
        <v>439.10319148936168</v>
      </c>
      <c r="AF9" s="17">
        <v>0.17</v>
      </c>
      <c r="AG9" s="10">
        <f t="shared" si="19"/>
        <v>529.03998974621891</v>
      </c>
      <c r="AH9" s="10">
        <f t="shared" si="20"/>
        <v>24.997139515508838</v>
      </c>
      <c r="AJ9" s="16">
        <f t="shared" si="5"/>
        <v>3.2939649401191796E-2</v>
      </c>
      <c r="AK9" s="16">
        <f t="shared" si="6"/>
        <v>3.2939649401191796E-2</v>
      </c>
      <c r="AL9" s="16">
        <f t="shared" si="7"/>
        <v>3.2939649401191796E-2</v>
      </c>
      <c r="AN9" s="10">
        <f t="shared" si="8"/>
        <v>175.64127659574467</v>
      </c>
      <c r="AO9" s="3">
        <f t="shared" si="9"/>
        <v>8.2990503191489342</v>
      </c>
    </row>
    <row r="10" spans="1:41" x14ac:dyDescent="0.2">
      <c r="A10" t="s">
        <v>141</v>
      </c>
      <c r="C10" t="str">
        <f t="shared" si="10"/>
        <v>Soya-0.946</v>
      </c>
      <c r="D10" t="s">
        <v>101</v>
      </c>
      <c r="E10" s="1">
        <v>0.94599999999999995</v>
      </c>
      <c r="F10" s="8">
        <f>ROUND(1000/G10,0)</f>
        <v>999</v>
      </c>
      <c r="G10" s="1">
        <f t="shared" si="11"/>
        <v>1.0010582010582012</v>
      </c>
      <c r="H10" s="6">
        <v>1.0582010582010584</v>
      </c>
      <c r="I10" s="7">
        <v>21362</v>
      </c>
      <c r="J10" s="4">
        <f t="shared" si="12"/>
        <v>21.383383383383382</v>
      </c>
      <c r="K10" s="3">
        <f t="shared" si="13"/>
        <v>21.360779384035194</v>
      </c>
      <c r="M10" s="3">
        <f>_xlfn.MAXIFS('P-0402 Soya'!$H:$H,'P-0402 Soya'!$I:$I,$E10)</f>
        <v>166</v>
      </c>
      <c r="N10" s="3">
        <f>_xlfn.MINIFS('P-0402 Soya'!$H:$H,'P-0402 Soya'!$I:$I,$E10)</f>
        <v>28</v>
      </c>
      <c r="O10" s="3">
        <f>AVERAGEIF('P-0402 Soya'!$I:$I,$E10,'P-0402 Soya'!$H:$H)</f>
        <v>62.714285714285715</v>
      </c>
      <c r="Q10" s="3">
        <f t="shared" si="0"/>
        <v>166.17566137566141</v>
      </c>
      <c r="R10" s="3">
        <f t="shared" si="1"/>
        <v>28.029629629629632</v>
      </c>
      <c r="S10" s="3">
        <f t="shared" si="14"/>
        <v>62.780650037792903</v>
      </c>
      <c r="T10" s="3"/>
      <c r="U10" s="10">
        <f t="shared" si="15"/>
        <v>126.29350264550267</v>
      </c>
      <c r="V10" s="10">
        <f t="shared" si="15"/>
        <v>21.302518518518522</v>
      </c>
      <c r="W10" s="10">
        <f t="shared" si="15"/>
        <v>47.713294028722608</v>
      </c>
      <c r="X10" s="16">
        <f t="shared" si="3"/>
        <v>0.83068500805298673</v>
      </c>
      <c r="Y10" s="16">
        <f t="shared" si="4"/>
        <v>-3.7960236858643696E-3</v>
      </c>
      <c r="Z10" s="16">
        <f t="shared" si="21"/>
        <v>0.55183594386690338</v>
      </c>
      <c r="AB10" s="16">
        <f t="shared" si="17"/>
        <v>0.5</v>
      </c>
      <c r="AC10" s="16">
        <v>0.5</v>
      </c>
      <c r="AE10" s="3">
        <f t="shared" si="18"/>
        <v>42.766766766766764</v>
      </c>
      <c r="AF10" s="17">
        <v>0.24</v>
      </c>
      <c r="AG10" s="10">
        <f t="shared" si="19"/>
        <v>56.272061535219429</v>
      </c>
      <c r="AH10" s="10">
        <f t="shared" si="20"/>
        <v>56.212577326408407</v>
      </c>
      <c r="AJ10" s="16">
        <f t="shared" si="5"/>
        <v>-0.66137001610597346</v>
      </c>
      <c r="AK10" s="16">
        <f t="shared" si="6"/>
        <v>1.007592047371729</v>
      </c>
      <c r="AL10" s="16">
        <f t="shared" si="7"/>
        <v>-0.10367188773380671</v>
      </c>
      <c r="AN10" s="10">
        <f t="shared" si="8"/>
        <v>21.383383383383382</v>
      </c>
      <c r="AO10" s="3">
        <f t="shared" si="9"/>
        <v>21.360779384035194</v>
      </c>
    </row>
    <row r="11" spans="1:41" x14ac:dyDescent="0.2">
      <c r="A11" t="s">
        <v>141</v>
      </c>
      <c r="C11" t="str">
        <f t="shared" si="10"/>
        <v>Soya-0.414</v>
      </c>
      <c r="D11" t="s">
        <v>100</v>
      </c>
      <c r="E11" s="1">
        <v>0.41399999999999998</v>
      </c>
      <c r="F11" s="8">
        <f>ROUND(1000/G11,0)</f>
        <v>2283</v>
      </c>
      <c r="G11" s="1">
        <f t="shared" si="11"/>
        <v>0.43809523809523815</v>
      </c>
      <c r="H11" s="6">
        <v>1.0582010582010584</v>
      </c>
      <c r="I11" s="7">
        <v>30483</v>
      </c>
      <c r="J11" s="4">
        <f t="shared" si="12"/>
        <v>13.352168199737187</v>
      </c>
      <c r="K11" s="3">
        <f t="shared" si="13"/>
        <v>30.477775238530533</v>
      </c>
      <c r="M11" s="3">
        <f>_xlfn.MAXIFS('P-0402 Soya'!$H:$H,'P-0402 Soya'!$I:$I,$E11)</f>
        <v>317.56756756756761</v>
      </c>
      <c r="N11" s="3">
        <f>_xlfn.MINIFS('P-0402 Soya'!$H:$H,'P-0402 Soya'!$I:$I,$E11)</f>
        <v>57.142857142857146</v>
      </c>
      <c r="O11" s="3">
        <f>AVERAGEIF('P-0402 Soya'!$I:$I,$E11,'P-0402 Soya'!$H:$H)</f>
        <v>156.26617234554723</v>
      </c>
      <c r="Q11" s="3">
        <f t="shared" si="0"/>
        <v>139.12483912483916</v>
      </c>
      <c r="R11" s="3">
        <f t="shared" si="1"/>
        <v>25.03401360544218</v>
      </c>
      <c r="S11" s="3">
        <f t="shared" si="14"/>
        <v>68.459465979954032</v>
      </c>
      <c r="T11" s="3"/>
      <c r="U11" s="10">
        <f t="shared" si="15"/>
        <v>105.73487773487776</v>
      </c>
      <c r="V11" s="10">
        <f t="shared" si="15"/>
        <v>19.025850340136056</v>
      </c>
      <c r="W11" s="10">
        <f t="shared" si="15"/>
        <v>52.029194144765064</v>
      </c>
      <c r="X11" s="16">
        <f t="shared" si="3"/>
        <v>0.87372030416286339</v>
      </c>
      <c r="Y11" s="16">
        <f t="shared" si="4"/>
        <v>0.2982091227969943</v>
      </c>
      <c r="Z11" s="16">
        <f t="shared" si="21"/>
        <v>0.74337161243385086</v>
      </c>
      <c r="AB11" s="16">
        <f t="shared" si="17"/>
        <v>0.5</v>
      </c>
      <c r="AC11" s="16">
        <v>0.5</v>
      </c>
      <c r="AE11" s="3">
        <f t="shared" si="18"/>
        <v>26.704336399474375</v>
      </c>
      <c r="AF11" s="17">
        <v>0.24</v>
      </c>
      <c r="AG11" s="10">
        <f t="shared" si="19"/>
        <v>35.137284736150491</v>
      </c>
      <c r="AH11" s="10">
        <f t="shared" si="20"/>
        <v>80.204671680343509</v>
      </c>
      <c r="AJ11" s="16">
        <f t="shared" si="5"/>
        <v>-0.7474406083257269</v>
      </c>
      <c r="AK11" s="16">
        <f t="shared" si="6"/>
        <v>0.40358175440601129</v>
      </c>
      <c r="AL11" s="16">
        <f t="shared" si="7"/>
        <v>-0.48674322486770172</v>
      </c>
      <c r="AN11" s="10">
        <f t="shared" si="8"/>
        <v>13.352168199737187</v>
      </c>
      <c r="AO11" s="3">
        <f t="shared" si="9"/>
        <v>30.477775238530533</v>
      </c>
    </row>
    <row r="12" spans="1:41" x14ac:dyDescent="0.2">
      <c r="A12" t="s">
        <v>140</v>
      </c>
      <c r="B12" t="s">
        <v>4</v>
      </c>
      <c r="C12" t="str">
        <f t="shared" si="10"/>
        <v>Ostión-3.78</v>
      </c>
      <c r="D12" t="s">
        <v>5</v>
      </c>
      <c r="E12" s="1">
        <v>3.78</v>
      </c>
      <c r="F12" s="8">
        <v>227</v>
      </c>
      <c r="G12" s="1">
        <f t="shared" si="11"/>
        <v>4.4052863436123344</v>
      </c>
      <c r="H12" s="6">
        <v>1.1654196676223108</v>
      </c>
      <c r="I12" s="7">
        <v>21735.403999999999</v>
      </c>
      <c r="J12" s="4">
        <f t="shared" si="12"/>
        <v>95.75067841409691</v>
      </c>
      <c r="K12" s="3">
        <f t="shared" si="13"/>
        <v>21.735403999999999</v>
      </c>
      <c r="M12" s="3">
        <f>_xlfn.MAXIFS('P-0403 - Ostion'!$H:$H,'P-0403 - Ostion'!$I:$I,$E12)</f>
        <v>167.40088105726872</v>
      </c>
      <c r="N12" s="3">
        <f>_xlfn.MINIFS('P-0403 - Ostion'!$H:$H,'P-0403 - Ostion'!$I:$I,$E12)</f>
        <v>65.454545454545453</v>
      </c>
      <c r="O12" s="3">
        <f>AVERAGEIF('P-0403 - Ostion'!$I:$I,$E12,'P-0403 - Ostion'!$H:$H)</f>
        <v>108.12615138165799</v>
      </c>
      <c r="Q12" s="3">
        <f t="shared" si="0"/>
        <v>737.44881523025856</v>
      </c>
      <c r="R12" s="3">
        <f t="shared" si="1"/>
        <v>288.34601521826187</v>
      </c>
      <c r="S12" s="3">
        <f t="shared" si="14"/>
        <v>476.32665806897791</v>
      </c>
      <c r="T12" s="3"/>
      <c r="U12" s="10">
        <f t="shared" si="15"/>
        <v>560.46109957499652</v>
      </c>
      <c r="V12" s="10">
        <f t="shared" si="15"/>
        <v>219.14297156587901</v>
      </c>
      <c r="W12" s="10">
        <f t="shared" si="15"/>
        <v>362.00826013242323</v>
      </c>
      <c r="X12" s="16">
        <f t="shared" si="3"/>
        <v>0.82915731620498612</v>
      </c>
      <c r="Y12" s="16">
        <f t="shared" si="4"/>
        <v>0.56306753654970754</v>
      </c>
      <c r="Z12" s="16">
        <f t="shared" si="21"/>
        <v>0.73550139883805099</v>
      </c>
      <c r="AB12" s="16">
        <f t="shared" si="17"/>
        <v>0.56306753654970754</v>
      </c>
      <c r="AC12" s="16">
        <v>0.56306753654970754</v>
      </c>
      <c r="AE12" s="3">
        <f t="shared" si="18"/>
        <v>219.14297156587901</v>
      </c>
      <c r="AF12" s="17">
        <v>0.24</v>
      </c>
      <c r="AG12" s="10">
        <f t="shared" si="19"/>
        <v>288.34601521826187</v>
      </c>
      <c r="AH12" s="10">
        <f t="shared" si="20"/>
        <v>65.454545454545453</v>
      </c>
      <c r="AJ12" s="16">
        <f t="shared" si="5"/>
        <v>-0.60899521531100476</v>
      </c>
      <c r="AK12" s="16">
        <f t="shared" si="6"/>
        <v>0</v>
      </c>
      <c r="AL12" s="16">
        <f t="shared" si="7"/>
        <v>-0.39464648821627396</v>
      </c>
      <c r="AN12" s="10">
        <f t="shared" si="8"/>
        <v>123.3922931517821</v>
      </c>
      <c r="AO12" s="3">
        <f t="shared" si="9"/>
        <v>28.01005054545454</v>
      </c>
    </row>
    <row r="13" spans="1:41" x14ac:dyDescent="0.2">
      <c r="A13" t="s">
        <v>140</v>
      </c>
      <c r="C13" t="str">
        <f t="shared" si="10"/>
        <v>Ostión-0.414</v>
      </c>
      <c r="D13" t="s">
        <v>107</v>
      </c>
      <c r="E13" s="1">
        <v>0.41399999999999998</v>
      </c>
      <c r="F13" s="8">
        <f>ROUND(1000/G13,0)</f>
        <v>2073</v>
      </c>
      <c r="G13" s="1">
        <f t="shared" si="11"/>
        <v>0.48248374239563663</v>
      </c>
      <c r="H13" s="6">
        <v>1.1654196676223108</v>
      </c>
      <c r="I13" s="7">
        <v>36682</v>
      </c>
      <c r="J13" s="4">
        <f t="shared" si="12"/>
        <v>17.695127834056922</v>
      </c>
      <c r="K13" s="3">
        <f t="shared" si="13"/>
        <v>36.675075819543196</v>
      </c>
      <c r="M13" s="3">
        <f>_xlfn.MAXIFS('P-0403 - Ostion'!$H:$H,'P-0403 - Ostion'!$I:$I,$E13)</f>
        <v>508</v>
      </c>
      <c r="N13" s="3">
        <f>_xlfn.MINIFS('P-0403 - Ostion'!$H:$H,'P-0403 - Ostion'!$I:$I,$E13)</f>
        <v>112.29166666666667</v>
      </c>
      <c r="O13" s="3">
        <f>AVERAGEIF('P-0403 - Ostion'!$I:$I,$E13,'P-0403 - Ostion'!$H:$H)</f>
        <v>236.53138448749533</v>
      </c>
      <c r="Q13" s="3">
        <f t="shared" si="0"/>
        <v>245.10174113698341</v>
      </c>
      <c r="R13" s="3">
        <f t="shared" si="1"/>
        <v>54.178903573176697</v>
      </c>
      <c r="S13" s="3">
        <f t="shared" si="14"/>
        <v>114.12254758154798</v>
      </c>
      <c r="T13" s="3"/>
      <c r="U13" s="10">
        <f t="shared" si="15"/>
        <v>186.27732326410739</v>
      </c>
      <c r="V13" s="10">
        <f t="shared" si="15"/>
        <v>41.175966715614294</v>
      </c>
      <c r="W13" s="10">
        <f t="shared" si="15"/>
        <v>86.733136161976461</v>
      </c>
      <c r="X13" s="16">
        <f t="shared" si="3"/>
        <v>0.90500653797258801</v>
      </c>
      <c r="Y13" s="16">
        <f t="shared" si="4"/>
        <v>0.57025592243480294</v>
      </c>
      <c r="Z13" s="16">
        <f t="shared" si="21"/>
        <v>0.79598192090032593</v>
      </c>
      <c r="AB13" s="16">
        <f t="shared" si="17"/>
        <v>0.57025592243480294</v>
      </c>
      <c r="AC13" s="16">
        <v>0.57025592243480294</v>
      </c>
      <c r="AE13" s="3">
        <f t="shared" si="18"/>
        <v>41.175966715614294</v>
      </c>
      <c r="AF13" s="17">
        <v>0.24</v>
      </c>
      <c r="AG13" s="10">
        <f t="shared" si="19"/>
        <v>54.178903573176704</v>
      </c>
      <c r="AH13" s="10">
        <f t="shared" si="20"/>
        <v>112.29166666666669</v>
      </c>
      <c r="AJ13" s="16">
        <f t="shared" si="5"/>
        <v>-0.77895341207349078</v>
      </c>
      <c r="AK13" s="16">
        <f t="shared" si="6"/>
        <v>1.3114749263989923E-16</v>
      </c>
      <c r="AL13" s="16">
        <f t="shared" si="7"/>
        <v>-0.52525679875431841</v>
      </c>
      <c r="AN13" s="10">
        <f t="shared" si="8"/>
        <v>23.480838881557371</v>
      </c>
      <c r="AO13" s="3">
        <f t="shared" si="9"/>
        <v>48.66659084712348</v>
      </c>
    </row>
    <row r="14" spans="1:41" x14ac:dyDescent="0.2">
      <c r="A14" t="s">
        <v>140</v>
      </c>
      <c r="C14" t="str">
        <f t="shared" si="10"/>
        <v>Ostión-0.946</v>
      </c>
      <c r="D14" t="s">
        <v>108</v>
      </c>
      <c r="E14" s="1">
        <v>0.94599999999999995</v>
      </c>
      <c r="F14" s="8">
        <f>ROUND(1000/G14,0)</f>
        <v>907</v>
      </c>
      <c r="G14" s="1">
        <f t="shared" si="11"/>
        <v>1.1024870055707059</v>
      </c>
      <c r="H14" s="6">
        <v>1.1654196676223108</v>
      </c>
      <c r="I14" s="7">
        <v>28326</v>
      </c>
      <c r="J14" s="4">
        <f t="shared" si="12"/>
        <v>31.230429988974642</v>
      </c>
      <c r="K14" s="3">
        <f t="shared" si="13"/>
        <v>28.327254499301887</v>
      </c>
      <c r="M14" s="3">
        <f>_xlfn.MAXIFS('P-0403 - Ostion'!$H:$H,'P-0403 - Ostion'!$I:$I,$E14)</f>
        <v>95.649350649350652</v>
      </c>
      <c r="N14" s="3">
        <f>_xlfn.MINIFS('P-0403 - Ostion'!$H:$H,'P-0403 - Ostion'!$I:$I,$E14)</f>
        <v>95.649350649350652</v>
      </c>
      <c r="O14" s="3">
        <f>AVERAGEIF('P-0403 - Ostion'!$I:$I,$E14,'P-0403 - Ostion'!$H:$H)</f>
        <v>95.649350649350652</v>
      </c>
      <c r="Q14" s="3">
        <f t="shared" si="0"/>
        <v>105.45216618218505</v>
      </c>
      <c r="R14" s="3">
        <f t="shared" si="1"/>
        <v>105.45216618218505</v>
      </c>
      <c r="S14" s="3">
        <f t="shared" si="14"/>
        <v>105.45216618218505</v>
      </c>
      <c r="T14" s="3"/>
      <c r="U14" s="10">
        <f t="shared" si="15"/>
        <v>80.143646298460638</v>
      </c>
      <c r="V14" s="10">
        <f t="shared" si="15"/>
        <v>80.143646298460638</v>
      </c>
      <c r="W14" s="10">
        <f t="shared" si="15"/>
        <v>80.143646298460638</v>
      </c>
      <c r="X14" s="16">
        <f t="shared" si="3"/>
        <v>0.61031932746520789</v>
      </c>
      <c r="Y14" s="16">
        <f t="shared" si="4"/>
        <v>0.61031932746520789</v>
      </c>
      <c r="Z14" s="16">
        <f t="shared" si="21"/>
        <v>0.61031932746520789</v>
      </c>
      <c r="AB14" s="16">
        <f t="shared" si="17"/>
        <v>0.61031932746520789</v>
      </c>
      <c r="AC14" s="16">
        <v>0.61031932746520789</v>
      </c>
      <c r="AE14" s="3">
        <f t="shared" si="18"/>
        <v>80.143646298460638</v>
      </c>
      <c r="AF14" s="17">
        <v>0.24</v>
      </c>
      <c r="AG14" s="10">
        <f t="shared" si="19"/>
        <v>105.45216618218505</v>
      </c>
      <c r="AH14" s="10">
        <f t="shared" si="20"/>
        <v>95.649350649350652</v>
      </c>
      <c r="AJ14" s="16">
        <f t="shared" si="5"/>
        <v>0</v>
      </c>
      <c r="AK14" s="16">
        <f t="shared" si="6"/>
        <v>0</v>
      </c>
      <c r="AL14" s="16">
        <f t="shared" si="7"/>
        <v>0</v>
      </c>
      <c r="AN14" s="10">
        <f t="shared" si="8"/>
        <v>48.913216309485996</v>
      </c>
      <c r="AO14" s="3">
        <f t="shared" si="9"/>
        <v>44.36625199420461</v>
      </c>
    </row>
    <row r="15" spans="1:41" x14ac:dyDescent="0.2">
      <c r="A15" t="s">
        <v>142</v>
      </c>
      <c r="B15" t="s">
        <v>8</v>
      </c>
      <c r="C15" t="str">
        <f t="shared" si="10"/>
        <v>Mayo Chipotle-3.78</v>
      </c>
      <c r="D15" t="s">
        <v>9</v>
      </c>
      <c r="E15" s="1">
        <v>3.78</v>
      </c>
      <c r="F15" s="8">
        <v>243</v>
      </c>
      <c r="G15" s="1">
        <f t="shared" si="11"/>
        <v>4.1152263374485596</v>
      </c>
      <c r="H15" s="6">
        <v>1.0886842162562327</v>
      </c>
      <c r="I15" s="7">
        <v>22336.543699999998</v>
      </c>
      <c r="J15" s="4">
        <f t="shared" si="12"/>
        <v>91.919932921810698</v>
      </c>
      <c r="K15" s="3">
        <f t="shared" si="13"/>
        <v>22.3365437</v>
      </c>
      <c r="M15" s="3">
        <f>_xlfn.MAXIFS('P-0408 Mayo Chipotle'!$H:$H,'P-0408 Mayo Chipotle'!$I:$I,$E15)</f>
        <v>112.5</v>
      </c>
      <c r="N15" s="3">
        <f>_xlfn.MINIFS('P-0408 Mayo Chipotle'!$H:$H,'P-0408 Mayo Chipotle'!$I:$I,$E15)</f>
        <v>78.684210526315795</v>
      </c>
      <c r="O15" s="3">
        <f>AVERAGEIF('P-0408 Mayo Chipotle'!$I:$I,$E15,'P-0408 Mayo Chipotle'!$H:$H)</f>
        <v>95.59210526315789</v>
      </c>
      <c r="Q15" s="3">
        <f t="shared" si="0"/>
        <v>462.96296296296293</v>
      </c>
      <c r="R15" s="3">
        <f t="shared" si="1"/>
        <v>323.80333549924194</v>
      </c>
      <c r="S15" s="3">
        <f t="shared" si="14"/>
        <v>393.38314923110244</v>
      </c>
      <c r="T15" s="3"/>
      <c r="U15" s="10">
        <f t="shared" si="15"/>
        <v>351.85185185185185</v>
      </c>
      <c r="V15" s="10">
        <f t="shared" si="15"/>
        <v>246.09053497942386</v>
      </c>
      <c r="W15" s="10">
        <f t="shared" si="15"/>
        <v>298.97119341563786</v>
      </c>
      <c r="X15" s="16">
        <f t="shared" si="3"/>
        <v>0.73875387485380117</v>
      </c>
      <c r="Y15" s="16">
        <f t="shared" si="4"/>
        <v>0.62647920234113708</v>
      </c>
      <c r="Z15" s="16">
        <f t="shared" si="21"/>
        <v>0.69254585409497593</v>
      </c>
      <c r="AB15" s="16">
        <f t="shared" si="17"/>
        <v>0.62647920234113708</v>
      </c>
      <c r="AC15" s="16">
        <v>0.55000000000000004</v>
      </c>
      <c r="AE15" s="3">
        <f t="shared" si="18"/>
        <v>204.26651760402379</v>
      </c>
      <c r="AF15" s="17">
        <v>0.24</v>
      </c>
      <c r="AG15" s="10">
        <f t="shared" si="19"/>
        <v>268.77173368950497</v>
      </c>
      <c r="AH15" s="10">
        <f t="shared" si="20"/>
        <v>65.311531286549709</v>
      </c>
      <c r="AJ15" s="16">
        <f t="shared" si="5"/>
        <v>-0.41945305523066923</v>
      </c>
      <c r="AK15" s="16">
        <f t="shared" si="6"/>
        <v>-0.16995378298030472</v>
      </c>
      <c r="AL15" s="16">
        <f t="shared" si="7"/>
        <v>-0.31676856465550202</v>
      </c>
      <c r="AN15" s="10">
        <f t="shared" si="8"/>
        <v>112.34658468221309</v>
      </c>
      <c r="AO15" s="3">
        <f t="shared" si="9"/>
        <v>27.30022007777778</v>
      </c>
    </row>
    <row r="16" spans="1:41" x14ac:dyDescent="0.2">
      <c r="A16" t="s">
        <v>142</v>
      </c>
      <c r="C16" t="str">
        <f t="shared" si="10"/>
        <v>Mayo Chipotle-0.946</v>
      </c>
      <c r="D16" t="s">
        <v>103</v>
      </c>
      <c r="E16" s="1">
        <v>0.94599999999999995</v>
      </c>
      <c r="F16" s="8">
        <f>ROUND(1000/G16,0)</f>
        <v>971</v>
      </c>
      <c r="G16" s="1">
        <f t="shared" si="11"/>
        <v>1.029895268578396</v>
      </c>
      <c r="H16" s="6">
        <v>1.0886842162562327</v>
      </c>
      <c r="I16" s="7">
        <v>29529</v>
      </c>
      <c r="J16" s="4">
        <f t="shared" si="12"/>
        <v>30.410916580844489</v>
      </c>
      <c r="K16" s="3">
        <f t="shared" si="13"/>
        <v>29.528164181996726</v>
      </c>
      <c r="M16" s="3">
        <f>_xlfn.MAXIFS('P-0408 Mayo Chipotle'!$H:$H,'P-0408 Mayo Chipotle'!$I:$I,$E16)</f>
        <v>0</v>
      </c>
      <c r="N16" s="3">
        <f>_xlfn.MINIFS('P-0408 Mayo Chipotle'!$H:$H,'P-0408 Mayo Chipotle'!$I:$I,$E16)</f>
        <v>0</v>
      </c>
      <c r="O16" s="3">
        <f>IFERROR(AVERAGEIF('P-0408 Mayo Chipotle'!$I:$I,$E16,'P-0408 Mayo Chipotle'!$H:$H),0)</f>
        <v>0</v>
      </c>
      <c r="Q16" s="3">
        <f t="shared" si="0"/>
        <v>0</v>
      </c>
      <c r="R16" s="3">
        <f t="shared" si="1"/>
        <v>0</v>
      </c>
      <c r="S16" s="3">
        <f t="shared" si="14"/>
        <v>0</v>
      </c>
      <c r="T16" s="3"/>
      <c r="U16" s="10">
        <f t="shared" si="15"/>
        <v>0</v>
      </c>
      <c r="V16" s="10">
        <f t="shared" si="15"/>
        <v>0</v>
      </c>
      <c r="W16" s="10">
        <f t="shared" si="15"/>
        <v>0</v>
      </c>
      <c r="X16" s="16">
        <f>IFERROR((U16-$J16)/U16,0)</f>
        <v>0</v>
      </c>
      <c r="Y16" s="16">
        <f t="shared" ref="Y16:Z16" si="22">IFERROR((V16-$J16)/V16,0)</f>
        <v>0</v>
      </c>
      <c r="Z16" s="16">
        <f t="shared" si="22"/>
        <v>0</v>
      </c>
      <c r="AB16" s="16">
        <f t="shared" si="17"/>
        <v>0.5</v>
      </c>
      <c r="AC16" s="16">
        <v>0.5</v>
      </c>
      <c r="AE16" s="3">
        <f t="shared" si="18"/>
        <v>60.821833161688978</v>
      </c>
      <c r="AF16" s="17">
        <v>0.24</v>
      </c>
      <c r="AG16" s="10">
        <f t="shared" si="19"/>
        <v>80.028727844327605</v>
      </c>
      <c r="AH16" s="10">
        <f t="shared" si="20"/>
        <v>77.705695215780864</v>
      </c>
      <c r="AJ16" s="16" t="e">
        <f t="shared" si="5"/>
        <v>#DIV/0!</v>
      </c>
      <c r="AK16" s="16" t="e">
        <f t="shared" si="6"/>
        <v>#DIV/0!</v>
      </c>
      <c r="AL16" s="16" t="e">
        <f t="shared" si="7"/>
        <v>#DIV/0!</v>
      </c>
      <c r="AN16" s="10">
        <f t="shared" si="8"/>
        <v>30.410916580844489</v>
      </c>
      <c r="AO16" s="3">
        <f t="shared" si="9"/>
        <v>29.528164181996726</v>
      </c>
    </row>
    <row r="17" spans="1:41" x14ac:dyDescent="0.2">
      <c r="A17" t="s">
        <v>142</v>
      </c>
      <c r="C17" t="str">
        <f t="shared" si="10"/>
        <v>Mayo Chipotle-0.414</v>
      </c>
      <c r="D17" t="s">
        <v>104</v>
      </c>
      <c r="E17" s="1">
        <v>0.41399999999999998</v>
      </c>
      <c r="F17" s="8">
        <f>ROUND(1000/G17,0)</f>
        <v>2219</v>
      </c>
      <c r="G17" s="1">
        <f t="shared" si="11"/>
        <v>0.45071526553008029</v>
      </c>
      <c r="H17" s="6">
        <v>1.0886842162562327</v>
      </c>
      <c r="I17" s="7">
        <v>38396</v>
      </c>
      <c r="J17" s="4">
        <f t="shared" si="12"/>
        <v>17.303289770166742</v>
      </c>
      <c r="K17" s="3">
        <f t="shared" si="13"/>
        <v>38.390733781374301</v>
      </c>
      <c r="M17" s="3">
        <f>_xlfn.MAXIFS('P-0408 Mayo Chipotle'!$H:$H,'P-0408 Mayo Chipotle'!$I:$I,$E17)</f>
        <v>166.66666666666669</v>
      </c>
      <c r="N17" s="3">
        <f>_xlfn.MINIFS('P-0408 Mayo Chipotle'!$H:$H,'P-0408 Mayo Chipotle'!$I:$I,$E17)</f>
        <v>96.470588235294116</v>
      </c>
      <c r="O17" s="3">
        <f>AVERAGEIF('P-0408 Mayo Chipotle'!$I:$I,$E17,'P-0408 Mayo Chipotle'!$H:$H)</f>
        <v>126.51017877004094</v>
      </c>
      <c r="Q17" s="3">
        <f t="shared" si="0"/>
        <v>75.11921092168005</v>
      </c>
      <c r="R17" s="3">
        <f t="shared" si="1"/>
        <v>43.480766792313624</v>
      </c>
      <c r="S17" s="3">
        <f t="shared" si="14"/>
        <v>57.020068816596925</v>
      </c>
      <c r="T17" s="3"/>
      <c r="U17" s="10">
        <f t="shared" si="15"/>
        <v>57.090600300476837</v>
      </c>
      <c r="V17" s="10">
        <f t="shared" si="15"/>
        <v>33.045382762158354</v>
      </c>
      <c r="W17" s="10">
        <f t="shared" si="15"/>
        <v>43.335252300613661</v>
      </c>
      <c r="X17" s="16">
        <f t="shared" si="3"/>
        <v>0.6969152596207292</v>
      </c>
      <c r="Y17" s="16">
        <f t="shared" si="4"/>
        <v>0.47637798918215402</v>
      </c>
      <c r="Z17" s="16">
        <f t="shared" si="21"/>
        <v>0.60071099505467251</v>
      </c>
      <c r="AB17" s="16">
        <f t="shared" si="17"/>
        <v>0.5</v>
      </c>
      <c r="AC17" s="16">
        <v>0.5</v>
      </c>
      <c r="AE17" s="3">
        <f t="shared" si="18"/>
        <v>34.606579540333485</v>
      </c>
      <c r="AF17" s="17">
        <v>0.24</v>
      </c>
      <c r="AG17" s="10">
        <f t="shared" si="19"/>
        <v>45.534973079386162</v>
      </c>
      <c r="AH17" s="10">
        <f t="shared" si="20"/>
        <v>101.02824679309026</v>
      </c>
      <c r="AJ17" s="16">
        <f t="shared" si="5"/>
        <v>-0.3938305192414584</v>
      </c>
      <c r="AK17" s="16">
        <f t="shared" si="6"/>
        <v>4.7244021635691899E-2</v>
      </c>
      <c r="AL17" s="16">
        <f t="shared" si="7"/>
        <v>-0.20142199010934511</v>
      </c>
      <c r="AN17" s="10">
        <f t="shared" si="8"/>
        <v>17.303289770166742</v>
      </c>
      <c r="AO17" s="3">
        <f t="shared" si="9"/>
        <v>38.390733781374301</v>
      </c>
    </row>
  </sheetData>
  <autoFilter ref="A1:AL1" xr:uid="{00000000-0001-0000-0000-000000000000}"/>
  <conditionalFormatting sqref="AJ2:AL17">
    <cfRule type="cellIs" dxfId="8" priority="2" stopIfTrue="1" operator="lessThan">
      <formula>-0.2</formula>
    </cfRule>
    <cfRule type="cellIs" dxfId="7" priority="3" operator="greaterThan">
      <formula>0</formula>
    </cfRule>
  </conditionalFormatting>
  <conditionalFormatting sqref="AO2:AO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3826-20E1-3C45-8140-95B91045F267}">
  <dimension ref="A1:I26"/>
  <sheetViews>
    <sheetView workbookViewId="0">
      <selection activeCell="A10" sqref="A10:XFD12"/>
    </sheetView>
  </sheetViews>
  <sheetFormatPr baseColWidth="10" defaultRowHeight="15" x14ac:dyDescent="0.2"/>
  <cols>
    <col min="2" max="2" width="11.6640625" bestFit="1" customWidth="1"/>
  </cols>
  <sheetData>
    <row r="1" spans="1:9" x14ac:dyDescent="0.2">
      <c r="A1" t="s">
        <v>115</v>
      </c>
      <c r="B1" t="s">
        <v>15</v>
      </c>
      <c r="C1" t="s">
        <v>19</v>
      </c>
      <c r="D1" t="s">
        <v>31</v>
      </c>
      <c r="E1" t="s">
        <v>16</v>
      </c>
      <c r="F1" t="s">
        <v>17</v>
      </c>
      <c r="G1" t="s">
        <v>30</v>
      </c>
      <c r="H1" t="s">
        <v>18</v>
      </c>
      <c r="I1" t="s">
        <v>118</v>
      </c>
    </row>
    <row r="2" spans="1:9" x14ac:dyDescent="0.2">
      <c r="A2" t="s">
        <v>116</v>
      </c>
      <c r="B2" t="s">
        <v>20</v>
      </c>
      <c r="C2" t="s">
        <v>24</v>
      </c>
      <c r="D2" t="s">
        <v>33</v>
      </c>
      <c r="E2">
        <v>2.2000000000000002</v>
      </c>
      <c r="F2" s="4">
        <v>209</v>
      </c>
      <c r="H2" s="3">
        <f>F2/E2</f>
        <v>94.999999999999986</v>
      </c>
      <c r="I2">
        <v>3.78</v>
      </c>
    </row>
    <row r="3" spans="1:9" x14ac:dyDescent="0.2">
      <c r="A3" t="s">
        <v>116</v>
      </c>
      <c r="B3" t="s">
        <v>20</v>
      </c>
      <c r="C3" t="s">
        <v>27</v>
      </c>
      <c r="E3">
        <v>2.27</v>
      </c>
      <c r="F3" s="4">
        <v>244</v>
      </c>
      <c r="H3" s="3">
        <f>F3/E3</f>
        <v>107.48898678414096</v>
      </c>
      <c r="I3">
        <v>3.78</v>
      </c>
    </row>
    <row r="4" spans="1:9" x14ac:dyDescent="0.2">
      <c r="A4" t="s">
        <v>116</v>
      </c>
      <c r="B4" t="s">
        <v>20</v>
      </c>
      <c r="C4" t="s">
        <v>27</v>
      </c>
      <c r="E4">
        <v>0.48</v>
      </c>
      <c r="F4" s="4">
        <v>66.900000000000006</v>
      </c>
      <c r="H4" s="3">
        <f t="shared" ref="H4:H9" si="0">F4/E4</f>
        <v>139.37500000000003</v>
      </c>
      <c r="I4">
        <v>0.41399999999999998</v>
      </c>
    </row>
    <row r="5" spans="1:9" x14ac:dyDescent="0.2">
      <c r="A5" t="s">
        <v>116</v>
      </c>
      <c r="B5" t="s">
        <v>89</v>
      </c>
      <c r="C5" t="s">
        <v>27</v>
      </c>
      <c r="E5">
        <v>0.42</v>
      </c>
      <c r="F5" s="4">
        <v>63.9</v>
      </c>
      <c r="H5" s="3">
        <f t="shared" si="0"/>
        <v>152.14285714285714</v>
      </c>
      <c r="I5">
        <v>0.41399999999999998</v>
      </c>
    </row>
    <row r="6" spans="1:9" x14ac:dyDescent="0.2">
      <c r="A6" t="s">
        <v>116</v>
      </c>
      <c r="B6" t="s">
        <v>20</v>
      </c>
      <c r="C6" t="s">
        <v>27</v>
      </c>
      <c r="E6">
        <v>0.51</v>
      </c>
      <c r="F6" s="4">
        <v>135</v>
      </c>
      <c r="H6" s="3">
        <f t="shared" si="0"/>
        <v>264.70588235294116</v>
      </c>
      <c r="I6">
        <v>0.41399999999999998</v>
      </c>
    </row>
    <row r="7" spans="1:9" x14ac:dyDescent="0.2">
      <c r="A7" t="s">
        <v>116</v>
      </c>
      <c r="B7" t="s">
        <v>90</v>
      </c>
      <c r="C7" t="s">
        <v>27</v>
      </c>
      <c r="E7">
        <v>0.29499999999999998</v>
      </c>
      <c r="F7" s="4">
        <v>47</v>
      </c>
      <c r="H7" s="3">
        <f t="shared" si="0"/>
        <v>159.32203389830508</v>
      </c>
      <c r="I7">
        <v>0.41399999999999998</v>
      </c>
    </row>
    <row r="8" spans="1:9" x14ac:dyDescent="0.2">
      <c r="A8" t="s">
        <v>116</v>
      </c>
      <c r="B8" t="s">
        <v>91</v>
      </c>
      <c r="C8" t="s">
        <v>27</v>
      </c>
      <c r="E8">
        <v>0.15</v>
      </c>
      <c r="F8" s="4">
        <v>68</v>
      </c>
      <c r="H8" s="3">
        <f t="shared" si="0"/>
        <v>453.33333333333337</v>
      </c>
      <c r="I8">
        <v>0.41399999999999998</v>
      </c>
    </row>
    <row r="9" spans="1:9" x14ac:dyDescent="0.2">
      <c r="A9" t="s">
        <v>116</v>
      </c>
      <c r="B9" t="s">
        <v>64</v>
      </c>
      <c r="C9" t="s">
        <v>27</v>
      </c>
      <c r="E9">
        <v>0.32</v>
      </c>
      <c r="F9" s="4">
        <v>54</v>
      </c>
      <c r="H9" s="3">
        <f t="shared" si="0"/>
        <v>168.75</v>
      </c>
      <c r="I9">
        <v>0.41399999999999998</v>
      </c>
    </row>
    <row r="10" spans="1:9" x14ac:dyDescent="0.2">
      <c r="A10" t="s">
        <v>116</v>
      </c>
      <c r="B10" t="s">
        <v>28</v>
      </c>
      <c r="C10" t="s">
        <v>21</v>
      </c>
      <c r="D10" t="s">
        <v>34</v>
      </c>
      <c r="E10">
        <v>2.27</v>
      </c>
      <c r="F10" s="4">
        <v>239</v>
      </c>
      <c r="G10">
        <v>100</v>
      </c>
      <c r="H10" s="3">
        <f t="shared" ref="H10:H21" si="1">F10/E10</f>
        <v>105.2863436123348</v>
      </c>
      <c r="I10">
        <v>3.78</v>
      </c>
    </row>
    <row r="11" spans="1:9" x14ac:dyDescent="0.2">
      <c r="A11" t="s">
        <v>116</v>
      </c>
      <c r="B11" t="s">
        <v>29</v>
      </c>
      <c r="C11" t="s">
        <v>21</v>
      </c>
      <c r="D11" t="s">
        <v>35</v>
      </c>
      <c r="E11">
        <v>2.27</v>
      </c>
      <c r="F11" s="4">
        <v>380</v>
      </c>
      <c r="G11">
        <v>100</v>
      </c>
      <c r="H11" s="3">
        <f t="shared" si="1"/>
        <v>167.40088105726872</v>
      </c>
      <c r="I11">
        <v>3.78</v>
      </c>
    </row>
    <row r="12" spans="1:9" x14ac:dyDescent="0.2">
      <c r="A12" t="s">
        <v>116</v>
      </c>
      <c r="B12" t="s">
        <v>20</v>
      </c>
      <c r="C12" t="s">
        <v>21</v>
      </c>
      <c r="D12" t="s">
        <v>32</v>
      </c>
      <c r="E12">
        <v>2.2000000000000002</v>
      </c>
      <c r="F12" s="4">
        <v>144</v>
      </c>
      <c r="G12">
        <v>10000</v>
      </c>
      <c r="H12" s="3">
        <f t="shared" si="1"/>
        <v>65.454545454545453</v>
      </c>
      <c r="I12">
        <v>3.78</v>
      </c>
    </row>
    <row r="13" spans="1:9" x14ac:dyDescent="0.2">
      <c r="A13" t="s">
        <v>116</v>
      </c>
      <c r="B13" t="s">
        <v>22</v>
      </c>
      <c r="C13" t="s">
        <v>23</v>
      </c>
      <c r="E13">
        <v>0.77</v>
      </c>
      <c r="F13" s="4">
        <v>73.650000000000006</v>
      </c>
      <c r="H13" s="3">
        <f t="shared" si="1"/>
        <v>95.649350649350652</v>
      </c>
      <c r="I13">
        <v>0.94599999999999995</v>
      </c>
    </row>
    <row r="14" spans="1:9" x14ac:dyDescent="0.2">
      <c r="A14" t="s">
        <v>116</v>
      </c>
      <c r="B14" t="s">
        <v>25</v>
      </c>
      <c r="C14" t="s">
        <v>26</v>
      </c>
      <c r="E14">
        <v>0.27</v>
      </c>
      <c r="F14" s="4">
        <v>40</v>
      </c>
      <c r="H14" s="3">
        <f t="shared" si="1"/>
        <v>148.14814814814815</v>
      </c>
      <c r="I14">
        <v>0.41399999999999998</v>
      </c>
    </row>
    <row r="15" spans="1:9" x14ac:dyDescent="0.2">
      <c r="A15" t="s">
        <v>116</v>
      </c>
      <c r="B15" t="s">
        <v>70</v>
      </c>
      <c r="C15" t="s">
        <v>26</v>
      </c>
      <c r="E15">
        <v>0.25</v>
      </c>
      <c r="F15" s="4">
        <v>127</v>
      </c>
      <c r="H15" s="3">
        <f t="shared" si="1"/>
        <v>508</v>
      </c>
      <c r="I15">
        <v>0.41399999999999998</v>
      </c>
    </row>
    <row r="16" spans="1:9" x14ac:dyDescent="0.2">
      <c r="A16" t="s">
        <v>116</v>
      </c>
      <c r="C16" t="s">
        <v>62</v>
      </c>
      <c r="H16" s="3"/>
    </row>
    <row r="17" spans="1:9" x14ac:dyDescent="0.2">
      <c r="A17" t="s">
        <v>116</v>
      </c>
      <c r="B17" t="s">
        <v>61</v>
      </c>
      <c r="C17" t="s">
        <v>51</v>
      </c>
      <c r="D17" t="s">
        <v>61</v>
      </c>
      <c r="G17" t="s">
        <v>61</v>
      </c>
      <c r="H17" s="3"/>
    </row>
    <row r="18" spans="1:9" x14ac:dyDescent="0.2">
      <c r="A18" t="s">
        <v>116</v>
      </c>
      <c r="B18" t="s">
        <v>22</v>
      </c>
      <c r="C18" t="s">
        <v>63</v>
      </c>
      <c r="D18" t="s">
        <v>63</v>
      </c>
      <c r="E18">
        <v>0.32</v>
      </c>
      <c r="F18" s="4">
        <v>56</v>
      </c>
      <c r="H18" s="3">
        <f t="shared" si="1"/>
        <v>175</v>
      </c>
      <c r="I18" s="5">
        <v>0.41399999999999998</v>
      </c>
    </row>
    <row r="19" spans="1:9" x14ac:dyDescent="0.2">
      <c r="A19" t="s">
        <v>116</v>
      </c>
      <c r="B19" t="s">
        <v>65</v>
      </c>
      <c r="C19" t="s">
        <v>63</v>
      </c>
      <c r="D19" t="s">
        <v>65</v>
      </c>
      <c r="E19">
        <v>0.26</v>
      </c>
      <c r="F19" s="4">
        <v>60</v>
      </c>
      <c r="H19" s="3">
        <f t="shared" si="1"/>
        <v>230.76923076923077</v>
      </c>
      <c r="I19" s="5">
        <v>0.41399999999999998</v>
      </c>
    </row>
    <row r="20" spans="1:9" x14ac:dyDescent="0.2">
      <c r="A20" t="s">
        <v>116</v>
      </c>
      <c r="B20" t="s">
        <v>82</v>
      </c>
      <c r="C20" t="s">
        <v>59</v>
      </c>
      <c r="D20" t="s">
        <v>59</v>
      </c>
      <c r="E20">
        <v>0.48</v>
      </c>
      <c r="F20" s="4">
        <v>53.9</v>
      </c>
      <c r="H20" s="3">
        <f t="shared" si="1"/>
        <v>112.29166666666667</v>
      </c>
      <c r="I20" s="5">
        <v>0.41399999999999998</v>
      </c>
    </row>
    <row r="21" spans="1:9" x14ac:dyDescent="0.2">
      <c r="A21" t="s">
        <v>116</v>
      </c>
      <c r="B21" t="s">
        <v>83</v>
      </c>
      <c r="C21" t="s">
        <v>59</v>
      </c>
      <c r="D21" t="s">
        <v>59</v>
      </c>
      <c r="E21">
        <v>0.26</v>
      </c>
      <c r="F21" s="4">
        <v>84.9</v>
      </c>
      <c r="H21" s="3">
        <f t="shared" si="1"/>
        <v>326.53846153846155</v>
      </c>
      <c r="I21" s="5">
        <v>0.41399999999999998</v>
      </c>
    </row>
    <row r="22" spans="1:9" x14ac:dyDescent="0.2">
      <c r="A22" t="s">
        <v>116</v>
      </c>
      <c r="B22" t="s">
        <v>61</v>
      </c>
      <c r="C22" t="s">
        <v>52</v>
      </c>
      <c r="H22" s="3"/>
    </row>
    <row r="23" spans="1:9" x14ac:dyDescent="0.2">
      <c r="A23" t="s">
        <v>116</v>
      </c>
      <c r="B23" t="s">
        <v>61</v>
      </c>
      <c r="C23" t="s">
        <v>79</v>
      </c>
    </row>
    <row r="24" spans="1:9" x14ac:dyDescent="0.2">
      <c r="A24" t="s">
        <v>98</v>
      </c>
      <c r="B24" t="s">
        <v>163</v>
      </c>
      <c r="E24">
        <v>3.78</v>
      </c>
      <c r="F24" s="3">
        <f>VLOOKUP(B24,'260324 costeo'!C:AG,31,0)</f>
        <v>288.34601521826187</v>
      </c>
      <c r="H24" s="10">
        <f>F24/E24</f>
        <v>76.282014608005795</v>
      </c>
    </row>
    <row r="25" spans="1:9" x14ac:dyDescent="0.2">
      <c r="A25" t="s">
        <v>98</v>
      </c>
      <c r="B25" t="s">
        <v>164</v>
      </c>
      <c r="E25">
        <v>0.41399999999999998</v>
      </c>
      <c r="F25" s="3">
        <f>VLOOKUP(B25,'260324 costeo'!C:AG,31,0)</f>
        <v>54.178903573176704</v>
      </c>
      <c r="H25" s="10">
        <f t="shared" ref="H25:H26" si="2">F25/E25</f>
        <v>130.86691684342199</v>
      </c>
    </row>
    <row r="26" spans="1:9" x14ac:dyDescent="0.2">
      <c r="A26" t="s">
        <v>98</v>
      </c>
      <c r="B26" t="s">
        <v>165</v>
      </c>
      <c r="E26">
        <v>0.94599999999999995</v>
      </c>
      <c r="F26" s="3">
        <f>VLOOKUP(B26,'260324 costeo'!C:AG,31,0)</f>
        <v>105.45216618218505</v>
      </c>
      <c r="H26" s="10">
        <f t="shared" si="2"/>
        <v>111.47163444205609</v>
      </c>
    </row>
  </sheetData>
  <autoFilter ref="B1:H1" xr:uid="{61553826-20E1-3C45-8140-95B91045F267}">
    <sortState xmlns:xlrd2="http://schemas.microsoft.com/office/spreadsheetml/2017/richdata2" ref="B2:H8">
      <sortCondition ref="C1:C8"/>
    </sortState>
  </autoFilter>
  <sortState xmlns:xlrd2="http://schemas.microsoft.com/office/spreadsheetml/2017/richdata2" ref="B2:H14">
    <sortCondition ref="B1:B14"/>
  </sortState>
  <conditionalFormatting sqref="C1:C1048576">
    <cfRule type="duplicateValues" dxfId="6" priority="2"/>
  </conditionalFormatting>
  <conditionalFormatting sqref="D20:D22">
    <cfRule type="duplicateValues" dxfId="5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AAC9-9D54-B54B-BFE2-46993C99ADC7}">
  <dimension ref="A1:I35"/>
  <sheetViews>
    <sheetView workbookViewId="0">
      <selection activeCell="F33" sqref="F33"/>
    </sheetView>
  </sheetViews>
  <sheetFormatPr baseColWidth="10" defaultRowHeight="15" x14ac:dyDescent="0.2"/>
  <cols>
    <col min="3" max="3" width="14" bestFit="1" customWidth="1"/>
  </cols>
  <sheetData>
    <row r="1" spans="1:9" x14ac:dyDescent="0.2">
      <c r="A1" t="s">
        <v>115</v>
      </c>
      <c r="B1" t="s">
        <v>15</v>
      </c>
      <c r="C1" t="s">
        <v>19</v>
      </c>
      <c r="D1" t="s">
        <v>31</v>
      </c>
      <c r="E1" t="s">
        <v>16</v>
      </c>
      <c r="F1" t="s">
        <v>17</v>
      </c>
      <c r="G1" t="s">
        <v>30</v>
      </c>
      <c r="H1" t="s">
        <v>18</v>
      </c>
      <c r="I1" t="s">
        <v>118</v>
      </c>
    </row>
    <row r="2" spans="1:9" x14ac:dyDescent="0.2">
      <c r="A2" t="s">
        <v>116</v>
      </c>
      <c r="B2" t="s">
        <v>64</v>
      </c>
      <c r="C2" t="s">
        <v>63</v>
      </c>
      <c r="D2" t="s">
        <v>63</v>
      </c>
      <c r="E2">
        <v>0.32</v>
      </c>
      <c r="F2" s="4">
        <v>59</v>
      </c>
      <c r="H2" s="3">
        <f t="shared" ref="H2:H27" si="0">F2/E2</f>
        <v>184.375</v>
      </c>
      <c r="I2">
        <v>0.41399999999999998</v>
      </c>
    </row>
    <row r="3" spans="1:9" x14ac:dyDescent="0.2">
      <c r="A3" t="s">
        <v>116</v>
      </c>
      <c r="B3" t="s">
        <v>36</v>
      </c>
      <c r="C3" t="s">
        <v>63</v>
      </c>
      <c r="D3" t="s">
        <v>63</v>
      </c>
      <c r="E3">
        <v>0.34</v>
      </c>
      <c r="F3" s="4">
        <v>81</v>
      </c>
      <c r="H3" s="3">
        <f t="shared" si="0"/>
        <v>238.23529411764704</v>
      </c>
      <c r="I3">
        <v>0.41399999999999998</v>
      </c>
    </row>
    <row r="4" spans="1:9" x14ac:dyDescent="0.2">
      <c r="A4" t="s">
        <v>116</v>
      </c>
      <c r="B4" t="s">
        <v>66</v>
      </c>
      <c r="C4" t="s">
        <v>63</v>
      </c>
      <c r="D4" t="s">
        <v>63</v>
      </c>
      <c r="E4">
        <v>0.35499999999999998</v>
      </c>
      <c r="F4" s="4">
        <v>47</v>
      </c>
      <c r="H4" s="3">
        <f t="shared" si="0"/>
        <v>132.3943661971831</v>
      </c>
      <c r="I4">
        <v>0.41399999999999998</v>
      </c>
    </row>
    <row r="5" spans="1:9" x14ac:dyDescent="0.2">
      <c r="A5" t="s">
        <v>116</v>
      </c>
      <c r="B5" t="s">
        <v>67</v>
      </c>
      <c r="C5" t="s">
        <v>63</v>
      </c>
      <c r="D5" t="s">
        <v>63</v>
      </c>
      <c r="E5">
        <v>0.19</v>
      </c>
      <c r="F5" s="4">
        <v>87</v>
      </c>
      <c r="H5" s="3">
        <f t="shared" si="0"/>
        <v>457.89473684210526</v>
      </c>
      <c r="I5">
        <v>0.41399999999999998</v>
      </c>
    </row>
    <row r="6" spans="1:9" x14ac:dyDescent="0.2">
      <c r="A6" t="s">
        <v>116</v>
      </c>
      <c r="B6" t="s">
        <v>68</v>
      </c>
      <c r="C6" t="s">
        <v>63</v>
      </c>
      <c r="D6" t="s">
        <v>63</v>
      </c>
      <c r="E6">
        <v>0.25</v>
      </c>
      <c r="F6" s="4">
        <v>29</v>
      </c>
      <c r="H6" s="3">
        <f t="shared" si="0"/>
        <v>116</v>
      </c>
      <c r="I6">
        <v>0.41399999999999998</v>
      </c>
    </row>
    <row r="7" spans="1:9" x14ac:dyDescent="0.2">
      <c r="A7" t="s">
        <v>116</v>
      </c>
      <c r="B7" t="s">
        <v>69</v>
      </c>
      <c r="C7" t="s">
        <v>63</v>
      </c>
      <c r="D7" t="s">
        <v>63</v>
      </c>
      <c r="E7">
        <v>0.58099999999999996</v>
      </c>
      <c r="F7" s="4">
        <v>139</v>
      </c>
      <c r="H7" s="3">
        <f t="shared" si="0"/>
        <v>239.24268502581756</v>
      </c>
      <c r="I7">
        <v>0.41399999999999998</v>
      </c>
    </row>
    <row r="8" spans="1:9" x14ac:dyDescent="0.2">
      <c r="A8" t="s">
        <v>116</v>
      </c>
      <c r="B8" t="s">
        <v>20</v>
      </c>
      <c r="C8" t="s">
        <v>63</v>
      </c>
      <c r="D8" t="s">
        <v>63</v>
      </c>
      <c r="E8">
        <v>0.25</v>
      </c>
      <c r="F8" s="4">
        <v>135</v>
      </c>
      <c r="H8" s="3">
        <f t="shared" si="0"/>
        <v>540</v>
      </c>
      <c r="I8">
        <v>0.41399999999999998</v>
      </c>
    </row>
    <row r="9" spans="1:9" x14ac:dyDescent="0.2">
      <c r="A9" t="s">
        <v>116</v>
      </c>
      <c r="B9" t="s">
        <v>70</v>
      </c>
      <c r="C9" t="s">
        <v>63</v>
      </c>
      <c r="D9" t="s">
        <v>63</v>
      </c>
      <c r="E9">
        <v>0.3</v>
      </c>
      <c r="F9" s="4">
        <v>65</v>
      </c>
      <c r="H9" s="3">
        <f t="shared" si="0"/>
        <v>216.66666666666669</v>
      </c>
      <c r="I9">
        <v>0.41399999999999998</v>
      </c>
    </row>
    <row r="10" spans="1:9" x14ac:dyDescent="0.2">
      <c r="A10" t="s">
        <v>116</v>
      </c>
      <c r="B10" t="s">
        <v>71</v>
      </c>
      <c r="C10" t="s">
        <v>63</v>
      </c>
      <c r="D10" t="s">
        <v>63</v>
      </c>
      <c r="E10">
        <v>0.44800000000000001</v>
      </c>
      <c r="F10" s="4">
        <v>99</v>
      </c>
      <c r="H10" s="3">
        <f t="shared" si="0"/>
        <v>220.98214285714286</v>
      </c>
      <c r="I10">
        <v>0.41399999999999998</v>
      </c>
    </row>
    <row r="11" spans="1:9" x14ac:dyDescent="0.2">
      <c r="A11" t="s">
        <v>116</v>
      </c>
      <c r="B11" t="s">
        <v>72</v>
      </c>
      <c r="C11" t="s">
        <v>63</v>
      </c>
      <c r="D11" t="s">
        <v>63</v>
      </c>
      <c r="E11">
        <v>0.47299999999999998</v>
      </c>
      <c r="F11" s="4">
        <v>102</v>
      </c>
      <c r="H11" s="3">
        <f t="shared" si="0"/>
        <v>215.6448202959831</v>
      </c>
      <c r="I11">
        <v>0.41399999999999998</v>
      </c>
    </row>
    <row r="12" spans="1:9" x14ac:dyDescent="0.2">
      <c r="A12" t="s">
        <v>116</v>
      </c>
      <c r="B12" t="s">
        <v>36</v>
      </c>
      <c r="C12" t="s">
        <v>59</v>
      </c>
      <c r="D12" t="s">
        <v>59</v>
      </c>
      <c r="E12">
        <v>0.34</v>
      </c>
      <c r="F12" s="4">
        <v>91.5</v>
      </c>
      <c r="H12" s="3">
        <f t="shared" si="0"/>
        <v>269.11764705882354</v>
      </c>
      <c r="I12">
        <v>0.41399999999999998</v>
      </c>
    </row>
    <row r="13" spans="1:9" x14ac:dyDescent="0.2">
      <c r="A13" t="s">
        <v>116</v>
      </c>
      <c r="B13" t="s">
        <v>20</v>
      </c>
      <c r="C13" t="s">
        <v>59</v>
      </c>
      <c r="D13" t="s">
        <v>59</v>
      </c>
      <c r="E13">
        <v>0.22700000000000001</v>
      </c>
      <c r="F13" s="4">
        <v>38.9</v>
      </c>
      <c r="H13" s="3">
        <f t="shared" si="0"/>
        <v>171.36563876651982</v>
      </c>
      <c r="I13">
        <v>0.41399999999999998</v>
      </c>
    </row>
    <row r="14" spans="1:9" x14ac:dyDescent="0.2">
      <c r="A14" t="s">
        <v>116</v>
      </c>
      <c r="B14" t="s">
        <v>36</v>
      </c>
      <c r="C14" t="s">
        <v>27</v>
      </c>
      <c r="E14">
        <v>0.34</v>
      </c>
      <c r="F14" s="4">
        <v>103</v>
      </c>
      <c r="H14" s="3">
        <f t="shared" si="0"/>
        <v>302.94117647058823</v>
      </c>
      <c r="I14">
        <v>0.41399999999999998</v>
      </c>
    </row>
    <row r="15" spans="1:9" x14ac:dyDescent="0.2">
      <c r="A15" t="s">
        <v>116</v>
      </c>
      <c r="B15" t="s">
        <v>36</v>
      </c>
      <c r="C15" t="s">
        <v>27</v>
      </c>
      <c r="E15">
        <v>0.29599999999999999</v>
      </c>
      <c r="F15" s="4">
        <v>93</v>
      </c>
      <c r="H15" s="3">
        <f t="shared" si="0"/>
        <v>314.18918918918922</v>
      </c>
      <c r="I15">
        <v>0.41399999999999998</v>
      </c>
    </row>
    <row r="16" spans="1:9" x14ac:dyDescent="0.2">
      <c r="A16" t="s">
        <v>116</v>
      </c>
      <c r="B16" t="s">
        <v>86</v>
      </c>
      <c r="C16" t="s">
        <v>27</v>
      </c>
      <c r="E16">
        <v>0.35</v>
      </c>
      <c r="F16" s="4">
        <v>41</v>
      </c>
      <c r="H16" s="3">
        <f t="shared" si="0"/>
        <v>117.14285714285715</v>
      </c>
      <c r="I16">
        <v>0.41399999999999998</v>
      </c>
    </row>
    <row r="17" spans="1:9" x14ac:dyDescent="0.2">
      <c r="A17" t="s">
        <v>116</v>
      </c>
      <c r="B17" t="s">
        <v>92</v>
      </c>
      <c r="C17" t="s">
        <v>27</v>
      </c>
      <c r="E17">
        <v>0.32600000000000001</v>
      </c>
      <c r="F17" s="4">
        <v>121</v>
      </c>
      <c r="H17" s="3">
        <f t="shared" si="0"/>
        <v>371.16564417177915</v>
      </c>
      <c r="I17">
        <v>0.41399999999999998</v>
      </c>
    </row>
    <row r="18" spans="1:9" x14ac:dyDescent="0.2">
      <c r="A18" t="s">
        <v>116</v>
      </c>
      <c r="B18" t="s">
        <v>27</v>
      </c>
      <c r="C18" t="s">
        <v>27</v>
      </c>
      <c r="E18">
        <v>0.35499999999999998</v>
      </c>
      <c r="F18" s="4">
        <v>62.9</v>
      </c>
      <c r="H18" s="3">
        <f t="shared" si="0"/>
        <v>177.18309859154931</v>
      </c>
      <c r="I18">
        <v>0.41399999999999998</v>
      </c>
    </row>
    <row r="19" spans="1:9" x14ac:dyDescent="0.2">
      <c r="A19" t="s">
        <v>116</v>
      </c>
      <c r="B19" t="s">
        <v>20</v>
      </c>
      <c r="C19" t="s">
        <v>27</v>
      </c>
      <c r="E19">
        <v>0.25</v>
      </c>
      <c r="F19" s="4">
        <v>135</v>
      </c>
      <c r="H19" s="3">
        <f t="shared" si="0"/>
        <v>540</v>
      </c>
      <c r="I19">
        <v>0.41399999999999998</v>
      </c>
    </row>
    <row r="20" spans="1:9" x14ac:dyDescent="0.2">
      <c r="A20" t="s">
        <v>116</v>
      </c>
      <c r="B20" t="s">
        <v>86</v>
      </c>
      <c r="C20" t="s">
        <v>26</v>
      </c>
      <c r="E20">
        <v>0.35</v>
      </c>
      <c r="F20">
        <v>39</v>
      </c>
      <c r="H20" s="3">
        <f t="shared" si="0"/>
        <v>111.42857142857143</v>
      </c>
      <c r="I20">
        <v>0.41399999999999998</v>
      </c>
    </row>
    <row r="21" spans="1:9" x14ac:dyDescent="0.2">
      <c r="A21" t="s">
        <v>116</v>
      </c>
      <c r="B21" t="s">
        <v>87</v>
      </c>
      <c r="C21" t="s">
        <v>26</v>
      </c>
      <c r="E21">
        <v>0.44400000000000001</v>
      </c>
      <c r="F21">
        <v>50</v>
      </c>
      <c r="H21" s="3">
        <f t="shared" si="0"/>
        <v>112.61261261261261</v>
      </c>
      <c r="I21">
        <v>0.41399999999999998</v>
      </c>
    </row>
    <row r="22" spans="1:9" x14ac:dyDescent="0.2">
      <c r="A22" t="s">
        <v>116</v>
      </c>
      <c r="B22" t="s">
        <v>36</v>
      </c>
      <c r="C22" t="s">
        <v>26</v>
      </c>
      <c r="E22">
        <v>0.29599999999999999</v>
      </c>
      <c r="F22">
        <v>80</v>
      </c>
      <c r="H22" s="3">
        <f t="shared" si="0"/>
        <v>270.27027027027026</v>
      </c>
      <c r="I22">
        <v>0.41399999999999998</v>
      </c>
    </row>
    <row r="23" spans="1:9" x14ac:dyDescent="0.2">
      <c r="A23" t="s">
        <v>116</v>
      </c>
      <c r="B23" t="s">
        <v>36</v>
      </c>
      <c r="C23" t="s">
        <v>26</v>
      </c>
      <c r="E23">
        <v>0.34</v>
      </c>
      <c r="F23">
        <v>76</v>
      </c>
      <c r="H23" s="3">
        <f t="shared" si="0"/>
        <v>223.52941176470586</v>
      </c>
      <c r="I23">
        <v>0.41399999999999998</v>
      </c>
    </row>
    <row r="24" spans="1:9" x14ac:dyDescent="0.2">
      <c r="A24" t="s">
        <v>116</v>
      </c>
      <c r="B24" t="s">
        <v>36</v>
      </c>
      <c r="C24" t="s">
        <v>21</v>
      </c>
      <c r="D24" t="s">
        <v>32</v>
      </c>
      <c r="E24">
        <v>2.27</v>
      </c>
      <c r="F24" s="4">
        <v>330</v>
      </c>
      <c r="G24">
        <v>500</v>
      </c>
      <c r="H24" s="3">
        <f t="shared" si="0"/>
        <v>145.37444933920705</v>
      </c>
      <c r="I24">
        <v>3.78</v>
      </c>
    </row>
    <row r="25" spans="1:9" x14ac:dyDescent="0.2">
      <c r="A25" t="s">
        <v>116</v>
      </c>
      <c r="B25" t="s">
        <v>36</v>
      </c>
      <c r="C25" t="s">
        <v>24</v>
      </c>
      <c r="D25" t="s">
        <v>32</v>
      </c>
      <c r="E25">
        <v>2.27</v>
      </c>
      <c r="F25" s="4">
        <v>427</v>
      </c>
      <c r="H25" s="3">
        <f t="shared" si="0"/>
        <v>188.10572687224669</v>
      </c>
      <c r="I25">
        <v>3.78</v>
      </c>
    </row>
    <row r="26" spans="1:9" x14ac:dyDescent="0.2">
      <c r="A26" t="s">
        <v>77</v>
      </c>
      <c r="B26" t="s">
        <v>77</v>
      </c>
      <c r="C26" t="s">
        <v>79</v>
      </c>
      <c r="D26" t="s">
        <v>79</v>
      </c>
      <c r="E26">
        <v>3.8</v>
      </c>
      <c r="F26">
        <v>261</v>
      </c>
      <c r="H26" s="3">
        <f t="shared" si="0"/>
        <v>68.684210526315795</v>
      </c>
      <c r="I26">
        <v>3.78</v>
      </c>
    </row>
    <row r="27" spans="1:9" x14ac:dyDescent="0.2">
      <c r="A27" t="s">
        <v>116</v>
      </c>
      <c r="B27" t="s">
        <v>80</v>
      </c>
      <c r="C27" t="s">
        <v>79</v>
      </c>
      <c r="D27" t="s">
        <v>79</v>
      </c>
      <c r="E27">
        <v>3.8</v>
      </c>
      <c r="F27">
        <v>462</v>
      </c>
      <c r="H27" s="3">
        <f t="shared" si="0"/>
        <v>121.57894736842105</v>
      </c>
      <c r="I27">
        <v>3.78</v>
      </c>
    </row>
    <row r="28" spans="1:9" x14ac:dyDescent="0.2">
      <c r="A28" t="s">
        <v>116</v>
      </c>
      <c r="B28" t="s">
        <v>61</v>
      </c>
      <c r="C28" t="s">
        <v>23</v>
      </c>
      <c r="F28" s="4"/>
      <c r="H28" s="3"/>
    </row>
    <row r="29" spans="1:9" x14ac:dyDescent="0.2">
      <c r="A29" t="s">
        <v>116</v>
      </c>
      <c r="C29" t="s">
        <v>62</v>
      </c>
      <c r="F29" s="4"/>
      <c r="H29" s="3"/>
    </row>
    <row r="30" spans="1:9" x14ac:dyDescent="0.2">
      <c r="A30" t="s">
        <v>116</v>
      </c>
      <c r="C30" t="s">
        <v>51</v>
      </c>
      <c r="F30" s="4"/>
      <c r="H30" s="3"/>
    </row>
    <row r="31" spans="1:9" x14ac:dyDescent="0.2">
      <c r="A31" t="s">
        <v>116</v>
      </c>
      <c r="B31" t="s">
        <v>61</v>
      </c>
      <c r="C31" t="s">
        <v>52</v>
      </c>
      <c r="D31" t="s">
        <v>61</v>
      </c>
      <c r="H31" s="3"/>
    </row>
    <row r="32" spans="1:9" x14ac:dyDescent="0.2">
      <c r="A32" t="s">
        <v>116</v>
      </c>
      <c r="C32" t="s">
        <v>24</v>
      </c>
      <c r="H32" s="3"/>
    </row>
    <row r="33" spans="1:8" x14ac:dyDescent="0.2">
      <c r="A33" t="s">
        <v>160</v>
      </c>
      <c r="B33" t="s">
        <v>157</v>
      </c>
      <c r="E33">
        <v>3.78</v>
      </c>
      <c r="F33" s="3">
        <f>VLOOKUP(B33,'260324 costeo'!C:AG,31,0)</f>
        <v>323.98212512413113</v>
      </c>
      <c r="H33" s="3">
        <f>F33/E33</f>
        <v>85.70955691114581</v>
      </c>
    </row>
    <row r="34" spans="1:8" x14ac:dyDescent="0.2">
      <c r="A34" t="s">
        <v>160</v>
      </c>
      <c r="B34" t="s">
        <v>158</v>
      </c>
      <c r="E34">
        <v>0.94599999999999995</v>
      </c>
      <c r="F34" s="3">
        <f>VLOOKUP(B34,'260324 costeo'!C:AG,31,0)</f>
        <v>88.007208102901885</v>
      </c>
      <c r="H34" s="3">
        <f>F34/E34</f>
        <v>93.030875373046399</v>
      </c>
    </row>
    <row r="35" spans="1:8" x14ac:dyDescent="0.2">
      <c r="A35" t="s">
        <v>160</v>
      </c>
      <c r="B35" t="s">
        <v>159</v>
      </c>
      <c r="E35">
        <v>0.41399999999999998</v>
      </c>
      <c r="F35" s="3">
        <f>VLOOKUP(B35,'260324 costeo'!C:AG,31,0)</f>
        <v>57.566422795533313</v>
      </c>
      <c r="H35" s="3">
        <f>F35/E35</f>
        <v>139.04933042399352</v>
      </c>
    </row>
  </sheetData>
  <autoFilter ref="B1:I32" xr:uid="{31ADAAC9-9D54-B54B-BFE2-46993C99ADC7}">
    <sortState xmlns:xlrd2="http://schemas.microsoft.com/office/spreadsheetml/2017/richdata2" ref="B2:I32">
      <sortCondition ref="I1:I32"/>
    </sortState>
  </autoFilter>
  <conditionalFormatting sqref="C33:C35">
    <cfRule type="duplicateValues" dxfId="4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2DE3-AB33-3445-981F-B751652F272A}">
  <dimension ref="A1:I28"/>
  <sheetViews>
    <sheetView workbookViewId="0">
      <selection activeCell="D20" sqref="D20"/>
    </sheetView>
  </sheetViews>
  <sheetFormatPr baseColWidth="10" defaultRowHeight="15" x14ac:dyDescent="0.2"/>
  <cols>
    <col min="2" max="2" width="17.33203125" bestFit="1" customWidth="1"/>
    <col min="6" max="6" width="11.6640625" bestFit="1" customWidth="1"/>
  </cols>
  <sheetData>
    <row r="1" spans="1:9" x14ac:dyDescent="0.2">
      <c r="A1" t="s">
        <v>115</v>
      </c>
      <c r="B1" t="s">
        <v>15</v>
      </c>
      <c r="C1" t="s">
        <v>19</v>
      </c>
      <c r="D1" t="s">
        <v>31</v>
      </c>
      <c r="E1" t="s">
        <v>16</v>
      </c>
      <c r="F1" t="s">
        <v>17</v>
      </c>
      <c r="G1" t="s">
        <v>30</v>
      </c>
      <c r="H1" t="s">
        <v>18</v>
      </c>
      <c r="I1" t="s">
        <v>118</v>
      </c>
    </row>
    <row r="2" spans="1:9" x14ac:dyDescent="0.2">
      <c r="A2" t="s">
        <v>116</v>
      </c>
      <c r="B2" t="s">
        <v>37</v>
      </c>
      <c r="C2" t="s">
        <v>21</v>
      </c>
      <c r="D2" t="s">
        <v>37</v>
      </c>
      <c r="E2">
        <v>0.31</v>
      </c>
      <c r="F2" s="4">
        <v>32</v>
      </c>
      <c r="G2">
        <v>1000</v>
      </c>
      <c r="H2" s="3">
        <f t="shared" ref="H2:H18" si="0">F2/E2</f>
        <v>103.22580645161291</v>
      </c>
      <c r="I2">
        <v>0.41399999999999998</v>
      </c>
    </row>
    <row r="3" spans="1:9" x14ac:dyDescent="0.2">
      <c r="A3" t="s">
        <v>116</v>
      </c>
      <c r="B3" t="s">
        <v>49</v>
      </c>
      <c r="C3" t="s">
        <v>26</v>
      </c>
      <c r="D3" t="s">
        <v>26</v>
      </c>
      <c r="E3">
        <v>0.42499999999999999</v>
      </c>
      <c r="F3" s="4">
        <v>41</v>
      </c>
      <c r="H3" s="3">
        <f t="shared" si="0"/>
        <v>96.470588235294116</v>
      </c>
      <c r="I3">
        <v>0.41399999999999998</v>
      </c>
    </row>
    <row r="4" spans="1:9" x14ac:dyDescent="0.2">
      <c r="A4" t="s">
        <v>116</v>
      </c>
      <c r="B4" t="s">
        <v>74</v>
      </c>
      <c r="C4" t="s">
        <v>26</v>
      </c>
      <c r="D4" t="s">
        <v>26</v>
      </c>
      <c r="E4">
        <v>0.31</v>
      </c>
      <c r="F4" s="4">
        <v>41</v>
      </c>
      <c r="H4" s="3">
        <f t="shared" si="0"/>
        <v>132.25806451612902</v>
      </c>
      <c r="I4">
        <v>0.41399999999999998</v>
      </c>
    </row>
    <row r="5" spans="1:9" x14ac:dyDescent="0.2">
      <c r="A5" t="s">
        <v>116</v>
      </c>
      <c r="B5" t="s">
        <v>37</v>
      </c>
      <c r="C5" t="s">
        <v>26</v>
      </c>
      <c r="D5" t="s">
        <v>26</v>
      </c>
      <c r="E5">
        <v>0.31</v>
      </c>
      <c r="F5" s="4">
        <v>36</v>
      </c>
      <c r="H5" s="3">
        <f t="shared" si="0"/>
        <v>116.12903225806451</v>
      </c>
      <c r="I5">
        <v>0.41399999999999998</v>
      </c>
    </row>
    <row r="6" spans="1:9" x14ac:dyDescent="0.2">
      <c r="A6" t="s">
        <v>116</v>
      </c>
      <c r="B6" t="s">
        <v>37</v>
      </c>
      <c r="C6" t="s">
        <v>63</v>
      </c>
      <c r="D6" t="s">
        <v>63</v>
      </c>
      <c r="E6">
        <v>0.31</v>
      </c>
      <c r="F6" s="4">
        <v>36</v>
      </c>
      <c r="H6" s="3">
        <f t="shared" si="0"/>
        <v>116.12903225806451</v>
      </c>
      <c r="I6">
        <v>0.41399999999999998</v>
      </c>
    </row>
    <row r="7" spans="1:9" x14ac:dyDescent="0.2">
      <c r="A7" t="s">
        <v>116</v>
      </c>
      <c r="B7" t="s">
        <v>73</v>
      </c>
      <c r="C7" t="s">
        <v>63</v>
      </c>
      <c r="D7" t="s">
        <v>63</v>
      </c>
      <c r="E7">
        <v>0.38</v>
      </c>
      <c r="F7" s="4">
        <v>45</v>
      </c>
      <c r="H7" s="3">
        <f t="shared" si="0"/>
        <v>118.42105263157895</v>
      </c>
      <c r="I7">
        <v>0.41399999999999998</v>
      </c>
    </row>
    <row r="8" spans="1:9" x14ac:dyDescent="0.2">
      <c r="A8" t="s">
        <v>116</v>
      </c>
      <c r="B8" t="s">
        <v>37</v>
      </c>
      <c r="C8" t="s">
        <v>63</v>
      </c>
      <c r="D8" t="s">
        <v>63</v>
      </c>
      <c r="E8">
        <v>0.3</v>
      </c>
      <c r="F8" s="4">
        <v>50</v>
      </c>
      <c r="H8" s="3">
        <f t="shared" si="0"/>
        <v>166.66666666666669</v>
      </c>
      <c r="I8">
        <v>0.41399999999999998</v>
      </c>
    </row>
    <row r="9" spans="1:9" x14ac:dyDescent="0.2">
      <c r="A9" t="s">
        <v>116</v>
      </c>
      <c r="B9" t="s">
        <v>74</v>
      </c>
      <c r="C9" t="s">
        <v>63</v>
      </c>
      <c r="D9" t="s">
        <v>63</v>
      </c>
      <c r="E9">
        <v>0.34</v>
      </c>
      <c r="F9" s="4">
        <v>40</v>
      </c>
      <c r="H9" s="3">
        <f t="shared" si="0"/>
        <v>117.64705882352941</v>
      </c>
      <c r="I9">
        <v>0.41399999999999998</v>
      </c>
    </row>
    <row r="10" spans="1:9" x14ac:dyDescent="0.2">
      <c r="A10" t="s">
        <v>116</v>
      </c>
      <c r="B10" t="s">
        <v>49</v>
      </c>
      <c r="C10" t="s">
        <v>63</v>
      </c>
      <c r="D10" t="s">
        <v>63</v>
      </c>
      <c r="E10">
        <v>0.42499999999999999</v>
      </c>
      <c r="F10" s="4">
        <v>43</v>
      </c>
      <c r="H10" s="3">
        <f t="shared" si="0"/>
        <v>101.17647058823529</v>
      </c>
      <c r="I10">
        <v>0.41399999999999998</v>
      </c>
    </row>
    <row r="11" spans="1:9" x14ac:dyDescent="0.2">
      <c r="A11" t="s">
        <v>116</v>
      </c>
      <c r="B11" t="s">
        <v>37</v>
      </c>
      <c r="C11" t="s">
        <v>59</v>
      </c>
      <c r="E11">
        <v>0.31</v>
      </c>
      <c r="F11" s="4">
        <v>45.9</v>
      </c>
      <c r="H11" s="3">
        <f t="shared" si="0"/>
        <v>148.06451612903226</v>
      </c>
      <c r="I11">
        <v>0.41399999999999998</v>
      </c>
    </row>
    <row r="12" spans="1:9" x14ac:dyDescent="0.2">
      <c r="A12" t="s">
        <v>116</v>
      </c>
      <c r="B12" t="s">
        <v>37</v>
      </c>
      <c r="C12" t="s">
        <v>27</v>
      </c>
      <c r="E12">
        <v>0.31</v>
      </c>
      <c r="F12" s="4">
        <v>38</v>
      </c>
      <c r="H12" s="3">
        <f t="shared" si="0"/>
        <v>122.58064516129032</v>
      </c>
      <c r="I12">
        <v>0.41399999999999998</v>
      </c>
    </row>
    <row r="13" spans="1:9" x14ac:dyDescent="0.2">
      <c r="A13" t="s">
        <v>116</v>
      </c>
      <c r="B13" t="s">
        <v>73</v>
      </c>
      <c r="C13" t="s">
        <v>27</v>
      </c>
      <c r="E13">
        <v>0.38</v>
      </c>
      <c r="F13" s="4">
        <v>60</v>
      </c>
      <c r="H13" s="3">
        <f t="shared" si="0"/>
        <v>157.89473684210526</v>
      </c>
      <c r="I13">
        <v>0.41399999999999998</v>
      </c>
    </row>
    <row r="14" spans="1:9" x14ac:dyDescent="0.2">
      <c r="A14" t="s">
        <v>116</v>
      </c>
      <c r="B14" t="s">
        <v>93</v>
      </c>
      <c r="C14" t="s">
        <v>27</v>
      </c>
      <c r="E14">
        <v>0.312</v>
      </c>
      <c r="F14" s="4">
        <v>48</v>
      </c>
      <c r="H14" s="3">
        <f t="shared" si="0"/>
        <v>153.84615384615384</v>
      </c>
      <c r="I14">
        <v>0.41399999999999998</v>
      </c>
    </row>
    <row r="15" spans="1:9" x14ac:dyDescent="0.2">
      <c r="A15" t="s">
        <v>116</v>
      </c>
      <c r="B15" t="s">
        <v>74</v>
      </c>
      <c r="C15" t="s">
        <v>27</v>
      </c>
      <c r="E15">
        <v>0.49</v>
      </c>
      <c r="F15" s="4">
        <v>49</v>
      </c>
      <c r="H15" s="3">
        <f t="shared" si="0"/>
        <v>100</v>
      </c>
      <c r="I15">
        <v>0.41399999999999998</v>
      </c>
    </row>
    <row r="16" spans="1:9" x14ac:dyDescent="0.2">
      <c r="A16" t="s">
        <v>116</v>
      </c>
      <c r="B16" t="s">
        <v>37</v>
      </c>
      <c r="C16" t="s">
        <v>27</v>
      </c>
      <c r="E16">
        <v>0.35</v>
      </c>
      <c r="F16" s="4">
        <v>51.5</v>
      </c>
      <c r="H16" s="3">
        <f t="shared" si="0"/>
        <v>147.14285714285714</v>
      </c>
      <c r="I16">
        <v>0.41399999999999998</v>
      </c>
    </row>
    <row r="17" spans="1:9" x14ac:dyDescent="0.2">
      <c r="A17" t="s">
        <v>116</v>
      </c>
      <c r="B17" t="s">
        <v>38</v>
      </c>
      <c r="C17" t="s">
        <v>21</v>
      </c>
      <c r="D17" t="s">
        <v>39</v>
      </c>
      <c r="E17">
        <v>3.8</v>
      </c>
      <c r="F17" s="4">
        <v>299</v>
      </c>
      <c r="G17">
        <v>100</v>
      </c>
      <c r="H17" s="3">
        <f t="shared" si="0"/>
        <v>78.684210526315795</v>
      </c>
      <c r="I17">
        <v>3.78</v>
      </c>
    </row>
    <row r="18" spans="1:9" x14ac:dyDescent="0.2">
      <c r="A18" t="s">
        <v>116</v>
      </c>
      <c r="B18" t="s">
        <v>49</v>
      </c>
      <c r="C18" t="s">
        <v>21</v>
      </c>
      <c r="D18" t="s">
        <v>50</v>
      </c>
      <c r="E18">
        <v>2</v>
      </c>
      <c r="F18" s="4">
        <v>225</v>
      </c>
      <c r="H18" s="3">
        <f t="shared" si="0"/>
        <v>112.5</v>
      </c>
      <c r="I18">
        <v>3.78</v>
      </c>
    </row>
    <row r="19" spans="1:9" x14ac:dyDescent="0.2">
      <c r="A19" t="s">
        <v>116</v>
      </c>
      <c r="B19" t="s">
        <v>61</v>
      </c>
      <c r="C19" t="s">
        <v>23</v>
      </c>
      <c r="F19" s="4"/>
      <c r="H19" s="3"/>
    </row>
    <row r="20" spans="1:9" x14ac:dyDescent="0.2">
      <c r="A20" t="s">
        <v>116</v>
      </c>
      <c r="B20" t="s">
        <v>61</v>
      </c>
      <c r="C20" t="s">
        <v>24</v>
      </c>
      <c r="F20" s="4"/>
      <c r="H20" s="3"/>
    </row>
    <row r="21" spans="1:9" x14ac:dyDescent="0.2">
      <c r="A21" t="s">
        <v>116</v>
      </c>
      <c r="B21" t="s">
        <v>61</v>
      </c>
      <c r="C21" t="s">
        <v>62</v>
      </c>
    </row>
    <row r="22" spans="1:9" x14ac:dyDescent="0.2">
      <c r="A22" t="s">
        <v>116</v>
      </c>
      <c r="B22" t="s">
        <v>61</v>
      </c>
      <c r="C22" t="s">
        <v>51</v>
      </c>
    </row>
    <row r="23" spans="1:9" x14ac:dyDescent="0.2">
      <c r="A23" t="s">
        <v>116</v>
      </c>
      <c r="B23" t="s">
        <v>61</v>
      </c>
      <c r="C23" t="s">
        <v>52</v>
      </c>
      <c r="H23" s="3"/>
    </row>
    <row r="24" spans="1:9" x14ac:dyDescent="0.2">
      <c r="A24" t="s">
        <v>116</v>
      </c>
      <c r="B24" t="s">
        <v>61</v>
      </c>
      <c r="C24" t="s">
        <v>24</v>
      </c>
    </row>
    <row r="25" spans="1:9" x14ac:dyDescent="0.2">
      <c r="A25" t="s">
        <v>116</v>
      </c>
      <c r="B25" t="s">
        <v>61</v>
      </c>
      <c r="C25" t="s">
        <v>81</v>
      </c>
      <c r="H25" s="3"/>
    </row>
    <row r="26" spans="1:9" x14ac:dyDescent="0.2">
      <c r="A26" t="s">
        <v>160</v>
      </c>
      <c r="B26" t="s">
        <v>146</v>
      </c>
      <c r="E26">
        <v>3.78</v>
      </c>
      <c r="F26" s="3">
        <f>VLOOKUP(B26,'260324 costeo'!C:AG,31,0)</f>
        <v>268.77173368950497</v>
      </c>
      <c r="H26" s="3">
        <f>F26/E26</f>
        <v>71.103633251191795</v>
      </c>
    </row>
    <row r="27" spans="1:9" x14ac:dyDescent="0.2">
      <c r="A27" t="s">
        <v>160</v>
      </c>
      <c r="B27" t="s">
        <v>147</v>
      </c>
      <c r="E27">
        <v>0.94599999999999995</v>
      </c>
      <c r="F27" s="3">
        <f>VLOOKUP(B27,'260324 costeo'!C:AG,31,0)</f>
        <v>80.028727844327605</v>
      </c>
      <c r="H27" s="3">
        <f>F27/E27</f>
        <v>84.596963894638066</v>
      </c>
    </row>
    <row r="28" spans="1:9" x14ac:dyDescent="0.2">
      <c r="A28" t="s">
        <v>160</v>
      </c>
      <c r="B28" t="s">
        <v>148</v>
      </c>
      <c r="E28">
        <v>0.41399999999999998</v>
      </c>
      <c r="F28" s="3">
        <f>VLOOKUP(B28,'260324 costeo'!C:AG,31,0)</f>
        <v>45.534973079386162</v>
      </c>
      <c r="H28" s="3">
        <f>F28/E28</f>
        <v>109.98785767967672</v>
      </c>
    </row>
  </sheetData>
  <autoFilter ref="B1:I25" xr:uid="{B0B42DE3-AB33-3445-981F-B751652F272A}">
    <sortState xmlns:xlrd2="http://schemas.microsoft.com/office/spreadsheetml/2017/richdata2" ref="B2:I25">
      <sortCondition ref="I1:I25"/>
    </sortState>
  </autoFilter>
  <conditionalFormatting sqref="C1:C1048576">
    <cfRule type="duplicateValues" dxfId="3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9955-2987-1A47-B981-1C9925147BEA}">
  <dimension ref="A1:I33"/>
  <sheetViews>
    <sheetView workbookViewId="0">
      <selection sqref="A1:I33"/>
    </sheetView>
  </sheetViews>
  <sheetFormatPr baseColWidth="10" defaultRowHeight="15" x14ac:dyDescent="0.2"/>
  <cols>
    <col min="6" max="6" width="10.83203125" style="7"/>
  </cols>
  <sheetData>
    <row r="1" spans="1:9" x14ac:dyDescent="0.2">
      <c r="A1" t="s">
        <v>115</v>
      </c>
      <c r="B1" t="s">
        <v>15</v>
      </c>
      <c r="C1" t="s">
        <v>19</v>
      </c>
      <c r="D1" t="s">
        <v>31</v>
      </c>
      <c r="E1" t="s">
        <v>16</v>
      </c>
      <c r="F1" s="7" t="s">
        <v>17</v>
      </c>
      <c r="G1" t="s">
        <v>30</v>
      </c>
      <c r="H1" t="s">
        <v>18</v>
      </c>
      <c r="I1" t="s">
        <v>118</v>
      </c>
    </row>
    <row r="2" spans="1:9" x14ac:dyDescent="0.2">
      <c r="A2" t="s">
        <v>116</v>
      </c>
      <c r="B2" t="s">
        <v>58</v>
      </c>
      <c r="C2" t="s">
        <v>59</v>
      </c>
      <c r="D2" t="s">
        <v>59</v>
      </c>
      <c r="E2">
        <v>0.48099999999999998</v>
      </c>
      <c r="F2" s="7">
        <v>73</v>
      </c>
      <c r="H2" s="3">
        <f t="shared" ref="H2:H23" si="0">F2/E2</f>
        <v>151.76715176715177</v>
      </c>
      <c r="I2">
        <v>0.41399999999999998</v>
      </c>
    </row>
    <row r="3" spans="1:9" x14ac:dyDescent="0.2">
      <c r="A3" t="s">
        <v>116</v>
      </c>
      <c r="B3" t="s">
        <v>75</v>
      </c>
      <c r="C3" t="s">
        <v>63</v>
      </c>
      <c r="D3" t="s">
        <v>63</v>
      </c>
      <c r="E3">
        <v>0.56599999999999995</v>
      </c>
      <c r="F3" s="7">
        <v>129</v>
      </c>
      <c r="H3" s="3">
        <f t="shared" si="0"/>
        <v>227.91519434628978</v>
      </c>
      <c r="I3" s="5">
        <v>0.41399999999999998</v>
      </c>
    </row>
    <row r="4" spans="1:9" x14ac:dyDescent="0.2">
      <c r="A4" t="s">
        <v>116</v>
      </c>
      <c r="B4" t="s">
        <v>20</v>
      </c>
      <c r="C4" t="s">
        <v>63</v>
      </c>
      <c r="D4" t="s">
        <v>63</v>
      </c>
      <c r="E4">
        <v>0.51</v>
      </c>
      <c r="F4" s="7">
        <v>155</v>
      </c>
      <c r="H4" s="3">
        <f t="shared" si="0"/>
        <v>303.92156862745099</v>
      </c>
      <c r="I4" s="5">
        <v>0.41399999999999998</v>
      </c>
    </row>
    <row r="5" spans="1:9" x14ac:dyDescent="0.2">
      <c r="A5" t="s">
        <v>116</v>
      </c>
      <c r="B5" t="s">
        <v>76</v>
      </c>
      <c r="C5" t="s">
        <v>63</v>
      </c>
      <c r="D5" t="s">
        <v>63</v>
      </c>
      <c r="E5">
        <v>0.27800000000000002</v>
      </c>
      <c r="F5" s="7">
        <v>139</v>
      </c>
      <c r="H5" s="3">
        <f t="shared" si="0"/>
        <v>499.99999999999994</v>
      </c>
      <c r="I5" s="5">
        <v>0.41399999999999998</v>
      </c>
    </row>
    <row r="6" spans="1:9" x14ac:dyDescent="0.2">
      <c r="A6" t="s">
        <v>116</v>
      </c>
      <c r="B6" t="s">
        <v>64</v>
      </c>
      <c r="C6" t="s">
        <v>63</v>
      </c>
      <c r="D6" t="s">
        <v>63</v>
      </c>
      <c r="E6">
        <v>0.5</v>
      </c>
      <c r="F6" s="7">
        <v>67.150000000000006</v>
      </c>
      <c r="H6" s="3">
        <f t="shared" si="0"/>
        <v>134.30000000000001</v>
      </c>
      <c r="I6" s="5">
        <v>0.41399999999999998</v>
      </c>
    </row>
    <row r="7" spans="1:9" x14ac:dyDescent="0.2">
      <c r="A7" t="s">
        <v>116</v>
      </c>
      <c r="B7" t="s">
        <v>36</v>
      </c>
      <c r="C7" t="s">
        <v>63</v>
      </c>
      <c r="D7" t="s">
        <v>63</v>
      </c>
      <c r="E7">
        <v>0.56699999999999995</v>
      </c>
      <c r="F7" s="7">
        <v>136</v>
      </c>
      <c r="H7" s="3">
        <f t="shared" si="0"/>
        <v>239.85890652557322</v>
      </c>
      <c r="I7" s="5">
        <v>0.41399999999999998</v>
      </c>
    </row>
    <row r="8" spans="1:9" x14ac:dyDescent="0.2">
      <c r="A8" t="s">
        <v>116</v>
      </c>
      <c r="B8" t="s">
        <v>94</v>
      </c>
      <c r="C8" t="s">
        <v>27</v>
      </c>
      <c r="E8">
        <v>0.48199999999999998</v>
      </c>
      <c r="F8" s="7">
        <v>128</v>
      </c>
      <c r="H8" s="3">
        <f t="shared" si="0"/>
        <v>265.56016597510376</v>
      </c>
      <c r="I8" s="5">
        <v>0.41399999999999998</v>
      </c>
    </row>
    <row r="9" spans="1:9" x14ac:dyDescent="0.2">
      <c r="A9" t="s">
        <v>116</v>
      </c>
      <c r="B9" t="s">
        <v>86</v>
      </c>
      <c r="C9" t="s">
        <v>27</v>
      </c>
      <c r="E9">
        <v>0.5</v>
      </c>
      <c r="F9" s="7">
        <v>50</v>
      </c>
      <c r="H9" s="3">
        <f t="shared" si="0"/>
        <v>100</v>
      </c>
      <c r="I9" s="5">
        <v>0.41399999999999998</v>
      </c>
    </row>
    <row r="10" spans="1:9" x14ac:dyDescent="0.2">
      <c r="A10" t="s">
        <v>116</v>
      </c>
      <c r="B10" t="s">
        <v>90</v>
      </c>
      <c r="C10" t="s">
        <v>27</v>
      </c>
      <c r="E10">
        <v>0.2</v>
      </c>
      <c r="F10" s="7">
        <v>67</v>
      </c>
      <c r="H10" s="3">
        <f t="shared" si="0"/>
        <v>335</v>
      </c>
      <c r="I10" s="5">
        <v>0.41399999999999998</v>
      </c>
    </row>
    <row r="11" spans="1:9" x14ac:dyDescent="0.2">
      <c r="A11" t="s">
        <v>116</v>
      </c>
      <c r="B11" t="s">
        <v>88</v>
      </c>
      <c r="C11" t="s">
        <v>27</v>
      </c>
      <c r="E11">
        <v>0.25600000000000001</v>
      </c>
      <c r="F11" s="7">
        <v>84</v>
      </c>
      <c r="H11" s="3">
        <f t="shared" si="0"/>
        <v>328.125</v>
      </c>
      <c r="I11" s="5">
        <v>0.41399999999999998</v>
      </c>
    </row>
    <row r="12" spans="1:9" x14ac:dyDescent="0.2">
      <c r="A12" t="s">
        <v>116</v>
      </c>
      <c r="B12" t="s">
        <v>95</v>
      </c>
      <c r="C12" t="s">
        <v>27</v>
      </c>
      <c r="E12">
        <v>0.47499999999999998</v>
      </c>
      <c r="F12" s="7">
        <v>80</v>
      </c>
      <c r="H12" s="3">
        <f t="shared" si="0"/>
        <v>168.42105263157896</v>
      </c>
      <c r="I12" s="5">
        <v>0.41399999999999998</v>
      </c>
    </row>
    <row r="13" spans="1:9" x14ac:dyDescent="0.2">
      <c r="A13" t="s">
        <v>116</v>
      </c>
      <c r="B13" t="s">
        <v>91</v>
      </c>
      <c r="C13" t="s">
        <v>27</v>
      </c>
      <c r="E13">
        <v>0.2</v>
      </c>
      <c r="F13" s="7">
        <v>79</v>
      </c>
      <c r="H13" s="3">
        <f t="shared" si="0"/>
        <v>395</v>
      </c>
      <c r="I13" s="5">
        <v>0.41399999999999998</v>
      </c>
    </row>
    <row r="14" spans="1:9" x14ac:dyDescent="0.2">
      <c r="A14" t="s">
        <v>116</v>
      </c>
      <c r="B14" t="s">
        <v>90</v>
      </c>
      <c r="C14" t="s">
        <v>27</v>
      </c>
      <c r="E14">
        <v>0.45500000000000002</v>
      </c>
      <c r="F14" s="7">
        <v>121</v>
      </c>
      <c r="H14" s="3">
        <f t="shared" si="0"/>
        <v>265.93406593406593</v>
      </c>
      <c r="I14" s="5">
        <v>0.41399999999999998</v>
      </c>
    </row>
    <row r="15" spans="1:9" x14ac:dyDescent="0.2">
      <c r="A15" t="s">
        <v>116</v>
      </c>
      <c r="B15" t="s">
        <v>20</v>
      </c>
      <c r="C15" t="s">
        <v>27</v>
      </c>
      <c r="E15">
        <v>0.51</v>
      </c>
      <c r="F15" s="7">
        <v>163</v>
      </c>
      <c r="H15" s="3">
        <f t="shared" si="0"/>
        <v>319.60784313725492</v>
      </c>
      <c r="I15" s="5">
        <v>0.41399999999999998</v>
      </c>
    </row>
    <row r="16" spans="1:9" x14ac:dyDescent="0.2">
      <c r="A16" t="s">
        <v>116</v>
      </c>
      <c r="B16" t="s">
        <v>86</v>
      </c>
      <c r="C16" t="s">
        <v>26</v>
      </c>
      <c r="E16">
        <v>0.5</v>
      </c>
      <c r="F16" s="7">
        <v>48</v>
      </c>
      <c r="H16" s="3">
        <f t="shared" si="0"/>
        <v>96</v>
      </c>
      <c r="I16" s="5">
        <v>0.41399999999999998</v>
      </c>
    </row>
    <row r="17" spans="1:9" x14ac:dyDescent="0.2">
      <c r="A17" t="s">
        <v>116</v>
      </c>
      <c r="B17" t="s">
        <v>88</v>
      </c>
      <c r="C17" t="s">
        <v>26</v>
      </c>
      <c r="E17">
        <v>0.25600000000000001</v>
      </c>
      <c r="F17" s="7">
        <v>90</v>
      </c>
      <c r="H17" s="3">
        <f t="shared" si="0"/>
        <v>351.5625</v>
      </c>
      <c r="I17" s="5">
        <v>0.41399999999999998</v>
      </c>
    </row>
    <row r="18" spans="1:9" x14ac:dyDescent="0.2">
      <c r="A18" t="s">
        <v>116</v>
      </c>
      <c r="B18" t="s">
        <v>56</v>
      </c>
      <c r="C18" t="s">
        <v>59</v>
      </c>
      <c r="D18" t="s">
        <v>59</v>
      </c>
      <c r="E18">
        <v>0.73</v>
      </c>
      <c r="F18" s="7">
        <v>119.9</v>
      </c>
      <c r="G18">
        <v>0</v>
      </c>
      <c r="H18" s="3">
        <f t="shared" si="0"/>
        <v>164.24657534246577</v>
      </c>
      <c r="I18">
        <v>0.91400000000000003</v>
      </c>
    </row>
    <row r="19" spans="1:9" x14ac:dyDescent="0.2">
      <c r="A19" t="s">
        <v>116</v>
      </c>
      <c r="B19" t="s">
        <v>57</v>
      </c>
      <c r="C19" t="s">
        <v>59</v>
      </c>
      <c r="D19" t="s">
        <v>59</v>
      </c>
      <c r="E19">
        <v>0.73</v>
      </c>
      <c r="F19" s="7">
        <v>131.9</v>
      </c>
      <c r="H19" s="3">
        <f t="shared" si="0"/>
        <v>180.68493150684932</v>
      </c>
      <c r="I19">
        <v>0.91400000000000003</v>
      </c>
    </row>
    <row r="20" spans="1:9" x14ac:dyDescent="0.2">
      <c r="A20" t="s">
        <v>116</v>
      </c>
      <c r="B20" t="s">
        <v>94</v>
      </c>
      <c r="C20" t="s">
        <v>27</v>
      </c>
      <c r="E20">
        <v>0.79300000000000004</v>
      </c>
      <c r="F20" s="7">
        <v>132</v>
      </c>
      <c r="H20" s="3">
        <f t="shared" si="0"/>
        <v>166.45649432534677</v>
      </c>
      <c r="I20">
        <v>0.91400000000000003</v>
      </c>
    </row>
    <row r="21" spans="1:9" x14ac:dyDescent="0.2">
      <c r="A21" t="s">
        <v>116</v>
      </c>
      <c r="B21" t="s">
        <v>57</v>
      </c>
      <c r="C21" t="s">
        <v>21</v>
      </c>
      <c r="D21" t="s">
        <v>60</v>
      </c>
      <c r="E21">
        <v>0.79300000000000004</v>
      </c>
      <c r="F21" s="7">
        <v>120</v>
      </c>
      <c r="H21" s="3">
        <f t="shared" si="0"/>
        <v>151.32408575031525</v>
      </c>
      <c r="I21">
        <v>0.94599999999999995</v>
      </c>
    </row>
    <row r="22" spans="1:9" x14ac:dyDescent="0.2">
      <c r="A22" t="s">
        <v>77</v>
      </c>
      <c r="B22" t="s">
        <v>77</v>
      </c>
      <c r="C22" t="s">
        <v>79</v>
      </c>
      <c r="D22" t="s">
        <v>79</v>
      </c>
      <c r="E22">
        <v>3.8</v>
      </c>
      <c r="F22" s="7">
        <v>280</v>
      </c>
      <c r="H22" s="3">
        <f t="shared" si="0"/>
        <v>73.684210526315795</v>
      </c>
      <c r="I22">
        <v>3.78</v>
      </c>
    </row>
    <row r="23" spans="1:9" x14ac:dyDescent="0.2">
      <c r="A23" t="s">
        <v>116</v>
      </c>
      <c r="B23" t="s">
        <v>80</v>
      </c>
      <c r="C23" t="s">
        <v>79</v>
      </c>
      <c r="D23" t="s">
        <v>79</v>
      </c>
      <c r="E23">
        <v>1.89</v>
      </c>
      <c r="F23" s="7">
        <v>288</v>
      </c>
      <c r="H23" s="3">
        <f t="shared" si="0"/>
        <v>152.38095238095238</v>
      </c>
      <c r="I23">
        <v>3.78</v>
      </c>
    </row>
    <row r="24" spans="1:9" x14ac:dyDescent="0.2">
      <c r="A24" t="s">
        <v>116</v>
      </c>
      <c r="B24" t="s">
        <v>61</v>
      </c>
      <c r="C24" t="s">
        <v>23</v>
      </c>
      <c r="D24" t="s">
        <v>61</v>
      </c>
      <c r="H24" s="3"/>
    </row>
    <row r="25" spans="1:9" x14ac:dyDescent="0.2">
      <c r="A25" t="s">
        <v>116</v>
      </c>
      <c r="C25" t="s">
        <v>24</v>
      </c>
      <c r="H25" s="3"/>
    </row>
    <row r="26" spans="1:9" x14ac:dyDescent="0.2">
      <c r="A26" t="s">
        <v>116</v>
      </c>
      <c r="C26" t="s">
        <v>62</v>
      </c>
      <c r="H26" s="3"/>
    </row>
    <row r="27" spans="1:9" x14ac:dyDescent="0.2">
      <c r="A27" t="s">
        <v>116</v>
      </c>
      <c r="C27" t="s">
        <v>51</v>
      </c>
      <c r="H27" s="3"/>
    </row>
    <row r="28" spans="1:9" x14ac:dyDescent="0.2">
      <c r="A28" t="s">
        <v>77</v>
      </c>
      <c r="B28" t="s">
        <v>77</v>
      </c>
      <c r="C28" t="s">
        <v>63</v>
      </c>
      <c r="D28" t="s">
        <v>63</v>
      </c>
      <c r="E28">
        <v>0.41399999999999998</v>
      </c>
      <c r="F28" s="7">
        <v>38</v>
      </c>
      <c r="H28" s="3">
        <f>F28/E28</f>
        <v>91.787439613526573</v>
      </c>
      <c r="I28" s="5"/>
    </row>
    <row r="29" spans="1:9" x14ac:dyDescent="0.2">
      <c r="A29" t="s">
        <v>116</v>
      </c>
      <c r="C29" t="s">
        <v>52</v>
      </c>
      <c r="H29" s="3"/>
    </row>
    <row r="30" spans="1:9" x14ac:dyDescent="0.2">
      <c r="A30" t="s">
        <v>116</v>
      </c>
      <c r="C30" t="s">
        <v>27</v>
      </c>
      <c r="H30" s="3"/>
    </row>
    <row r="31" spans="1:9" x14ac:dyDescent="0.2">
      <c r="A31" t="s">
        <v>161</v>
      </c>
      <c r="B31" t="s">
        <v>154</v>
      </c>
      <c r="E31">
        <v>3.78</v>
      </c>
      <c r="F31" s="3">
        <f>VLOOKUP(B31,'260324 costeo'!C:AG,31,0)</f>
        <v>331.91085822664775</v>
      </c>
      <c r="H31" s="3">
        <f t="shared" ref="H31:H33" si="1">F31/E31</f>
        <v>87.807105350965017</v>
      </c>
    </row>
    <row r="32" spans="1:9" x14ac:dyDescent="0.2">
      <c r="A32" t="s">
        <v>161</v>
      </c>
      <c r="B32" t="s">
        <v>155</v>
      </c>
      <c r="E32">
        <v>0.94599999999999995</v>
      </c>
      <c r="F32" s="3">
        <f>VLOOKUP(B32,'260324 costeo'!C:AG,31,0)</f>
        <v>101.88097074704798</v>
      </c>
      <c r="H32" s="3">
        <f t="shared" si="1"/>
        <v>107.69658641336997</v>
      </c>
    </row>
    <row r="33" spans="1:8" x14ac:dyDescent="0.2">
      <c r="A33" t="s">
        <v>161</v>
      </c>
      <c r="B33" t="s">
        <v>156</v>
      </c>
      <c r="E33">
        <v>0.41399999999999998</v>
      </c>
      <c r="F33" s="3">
        <f>VLOOKUP(B33,'260324 costeo'!C:AG,31,0)</f>
        <v>57.725638096227243</v>
      </c>
      <c r="H33" s="3">
        <f t="shared" si="1"/>
        <v>139.43390844499334</v>
      </c>
    </row>
  </sheetData>
  <autoFilter ref="B1:I30" xr:uid="{A6A39955-2987-1A47-B981-1C9925147BEA}">
    <sortState xmlns:xlrd2="http://schemas.microsoft.com/office/spreadsheetml/2017/richdata2" ref="B2:I30">
      <sortCondition ref="I1:I30"/>
    </sortState>
  </autoFilter>
  <conditionalFormatting sqref="C1:C1048576">
    <cfRule type="duplicateValues" dxfId="2" priority="4"/>
  </conditionalFormatting>
  <conditionalFormatting sqref="D11:D16">
    <cfRule type="duplicateValues" dxfId="1" priority="2"/>
  </conditionalFormatting>
  <conditionalFormatting sqref="D27:D28">
    <cfRule type="duplicateValues" dxfId="0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B31D-80E2-E341-A547-2D6E9DA6FC5F}">
  <dimension ref="A1:I63"/>
  <sheetViews>
    <sheetView topLeftCell="A24" workbookViewId="0">
      <selection activeCell="J67" sqref="J67"/>
    </sheetView>
  </sheetViews>
  <sheetFormatPr baseColWidth="10" defaultRowHeight="15" x14ac:dyDescent="0.2"/>
  <sheetData>
    <row r="1" spans="1:9" x14ac:dyDescent="0.2">
      <c r="A1" t="s">
        <v>117</v>
      </c>
      <c r="B1" t="s">
        <v>15</v>
      </c>
      <c r="C1" t="s">
        <v>19</v>
      </c>
      <c r="D1" t="s">
        <v>31</v>
      </c>
      <c r="E1" t="s">
        <v>16</v>
      </c>
      <c r="F1" t="s">
        <v>17</v>
      </c>
      <c r="G1" t="s">
        <v>30</v>
      </c>
      <c r="H1" t="s">
        <v>18</v>
      </c>
      <c r="I1" t="s">
        <v>118</v>
      </c>
    </row>
    <row r="2" spans="1:9" x14ac:dyDescent="0.2">
      <c r="A2" t="s">
        <v>116</v>
      </c>
      <c r="B2" t="s">
        <v>96</v>
      </c>
      <c r="C2" t="s">
        <v>27</v>
      </c>
      <c r="D2" t="s">
        <v>27</v>
      </c>
      <c r="E2">
        <v>0.14499999999999999</v>
      </c>
      <c r="F2" s="4">
        <v>33.9</v>
      </c>
      <c r="H2" s="3">
        <f t="shared" ref="H2:H29" si="0">F2/E2</f>
        <v>233.79310344827587</v>
      </c>
      <c r="I2">
        <v>0.15</v>
      </c>
    </row>
    <row r="3" spans="1:9" x14ac:dyDescent="0.2">
      <c r="A3" t="s">
        <v>116</v>
      </c>
      <c r="B3" t="s">
        <v>36</v>
      </c>
      <c r="C3" t="s">
        <v>51</v>
      </c>
      <c r="D3" t="s">
        <v>51</v>
      </c>
      <c r="E3">
        <v>0.14799999999999999</v>
      </c>
      <c r="F3" s="4">
        <v>48.1</v>
      </c>
      <c r="H3" s="3">
        <f t="shared" si="0"/>
        <v>325</v>
      </c>
      <c r="I3">
        <v>0.15</v>
      </c>
    </row>
    <row r="4" spans="1:9" x14ac:dyDescent="0.2">
      <c r="A4" t="s">
        <v>116</v>
      </c>
      <c r="B4" t="s">
        <v>36</v>
      </c>
      <c r="C4" t="s">
        <v>27</v>
      </c>
      <c r="D4" t="s">
        <v>27</v>
      </c>
      <c r="E4">
        <v>0.14799999999999999</v>
      </c>
      <c r="F4" s="4">
        <v>44</v>
      </c>
      <c r="H4" s="3">
        <f t="shared" si="0"/>
        <v>297.29729729729729</v>
      </c>
      <c r="I4">
        <v>0.15</v>
      </c>
    </row>
    <row r="5" spans="1:9" x14ac:dyDescent="0.2">
      <c r="A5" t="s">
        <v>116</v>
      </c>
      <c r="B5" t="s">
        <v>40</v>
      </c>
      <c r="C5" t="s">
        <v>53</v>
      </c>
      <c r="E5">
        <v>0.15</v>
      </c>
      <c r="F5" s="4">
        <v>19.5</v>
      </c>
      <c r="H5" s="3">
        <f t="shared" si="0"/>
        <v>130</v>
      </c>
      <c r="I5">
        <v>0.15</v>
      </c>
    </row>
    <row r="6" spans="1:9" x14ac:dyDescent="0.2">
      <c r="A6" t="s">
        <v>116</v>
      </c>
      <c r="B6" t="s">
        <v>45</v>
      </c>
      <c r="C6" t="s">
        <v>23</v>
      </c>
      <c r="D6" s="5" t="s">
        <v>23</v>
      </c>
      <c r="E6">
        <v>0.17499999999999999</v>
      </c>
      <c r="F6" s="4">
        <v>16</v>
      </c>
      <c r="H6" s="3">
        <f t="shared" si="0"/>
        <v>91.428571428571431</v>
      </c>
      <c r="I6">
        <v>0.15</v>
      </c>
    </row>
    <row r="7" spans="1:9" x14ac:dyDescent="0.2">
      <c r="A7" t="s">
        <v>116</v>
      </c>
      <c r="B7" t="s">
        <v>45</v>
      </c>
      <c r="C7" t="s">
        <v>26</v>
      </c>
      <c r="E7">
        <v>0.17499999999999999</v>
      </c>
      <c r="F7" s="4">
        <v>16</v>
      </c>
      <c r="H7" s="3">
        <f t="shared" si="0"/>
        <v>91.428571428571431</v>
      </c>
      <c r="I7">
        <v>0.15</v>
      </c>
    </row>
    <row r="8" spans="1:9" x14ac:dyDescent="0.2">
      <c r="A8" t="s">
        <v>116</v>
      </c>
      <c r="B8" t="s">
        <v>58</v>
      </c>
      <c r="C8" t="s">
        <v>63</v>
      </c>
      <c r="D8" t="s">
        <v>63</v>
      </c>
      <c r="E8">
        <v>0.28299999999999997</v>
      </c>
      <c r="F8" s="4">
        <v>59</v>
      </c>
      <c r="H8" s="3">
        <f t="shared" si="0"/>
        <v>208.48056537102477</v>
      </c>
      <c r="I8">
        <v>0.15</v>
      </c>
    </row>
    <row r="9" spans="1:9" x14ac:dyDescent="0.2">
      <c r="A9" t="s">
        <v>116</v>
      </c>
      <c r="B9" t="s">
        <v>42</v>
      </c>
      <c r="C9" t="s">
        <v>23</v>
      </c>
      <c r="D9" t="s">
        <v>23</v>
      </c>
      <c r="E9">
        <v>0.28999999999999998</v>
      </c>
      <c r="F9" s="4">
        <v>39</v>
      </c>
      <c r="H9" s="3">
        <f t="shared" si="0"/>
        <v>134.48275862068965</v>
      </c>
      <c r="I9">
        <v>0.15</v>
      </c>
    </row>
    <row r="10" spans="1:9" x14ac:dyDescent="0.2">
      <c r="A10" t="s">
        <v>116</v>
      </c>
      <c r="B10" t="s">
        <v>42</v>
      </c>
      <c r="C10" t="s">
        <v>53</v>
      </c>
      <c r="E10">
        <v>0.28999999999999998</v>
      </c>
      <c r="F10" s="4">
        <v>36</v>
      </c>
      <c r="H10" s="3">
        <f t="shared" si="0"/>
        <v>124.13793103448276</v>
      </c>
      <c r="I10">
        <v>0.15</v>
      </c>
    </row>
    <row r="11" spans="1:9" x14ac:dyDescent="0.2">
      <c r="A11" t="s">
        <v>116</v>
      </c>
      <c r="B11" t="s">
        <v>42</v>
      </c>
      <c r="C11" t="s">
        <v>63</v>
      </c>
      <c r="D11" t="s">
        <v>63</v>
      </c>
      <c r="E11">
        <v>0.28999999999999998</v>
      </c>
      <c r="F11" s="4">
        <v>39</v>
      </c>
      <c r="H11" s="3">
        <f t="shared" si="0"/>
        <v>134.48275862068965</v>
      </c>
      <c r="I11">
        <v>0.15</v>
      </c>
    </row>
    <row r="12" spans="1:9" x14ac:dyDescent="0.2">
      <c r="A12" t="s">
        <v>116</v>
      </c>
      <c r="B12" t="s">
        <v>42</v>
      </c>
      <c r="C12" t="s">
        <v>26</v>
      </c>
      <c r="E12">
        <v>0.28999999999999998</v>
      </c>
      <c r="F12" s="4">
        <v>39</v>
      </c>
      <c r="H12" s="3">
        <f t="shared" si="0"/>
        <v>134.48275862068965</v>
      </c>
      <c r="I12">
        <v>0.15</v>
      </c>
    </row>
    <row r="13" spans="1:9" x14ac:dyDescent="0.2">
      <c r="A13" t="s">
        <v>116</v>
      </c>
      <c r="B13" t="s">
        <v>42</v>
      </c>
      <c r="C13" t="s">
        <v>27</v>
      </c>
      <c r="D13" t="s">
        <v>27</v>
      </c>
      <c r="E13">
        <v>0.28999999999999998</v>
      </c>
      <c r="F13" s="4">
        <v>39.9</v>
      </c>
      <c r="H13" s="3">
        <f t="shared" si="0"/>
        <v>137.58620689655172</v>
      </c>
      <c r="I13">
        <v>0.15</v>
      </c>
    </row>
    <row r="14" spans="1:9" x14ac:dyDescent="0.2">
      <c r="A14" t="s">
        <v>116</v>
      </c>
      <c r="B14" t="s">
        <v>90</v>
      </c>
      <c r="C14" t="s">
        <v>27</v>
      </c>
      <c r="D14" t="s">
        <v>27</v>
      </c>
      <c r="E14">
        <v>0.29499999999999998</v>
      </c>
      <c r="F14" s="4">
        <v>52</v>
      </c>
      <c r="H14" s="3">
        <f t="shared" si="0"/>
        <v>176.27118644067798</v>
      </c>
      <c r="I14">
        <v>0.15</v>
      </c>
    </row>
    <row r="15" spans="1:9" x14ac:dyDescent="0.2">
      <c r="A15" t="s">
        <v>116</v>
      </c>
      <c r="B15" t="s">
        <v>36</v>
      </c>
      <c r="C15" t="s">
        <v>23</v>
      </c>
      <c r="D15" t="s">
        <v>23</v>
      </c>
      <c r="E15">
        <v>0.29599999999999999</v>
      </c>
      <c r="F15" s="4">
        <v>94</v>
      </c>
      <c r="H15" s="3">
        <f t="shared" si="0"/>
        <v>317.56756756756761</v>
      </c>
      <c r="I15">
        <v>0.41399999999999998</v>
      </c>
    </row>
    <row r="16" spans="1:9" x14ac:dyDescent="0.2">
      <c r="A16" t="s">
        <v>116</v>
      </c>
      <c r="B16" t="s">
        <v>36</v>
      </c>
      <c r="C16" t="s">
        <v>53</v>
      </c>
      <c r="E16">
        <v>0.29599999999999999</v>
      </c>
      <c r="F16" s="4">
        <v>79.900000000000006</v>
      </c>
      <c r="H16" s="3">
        <f t="shared" si="0"/>
        <v>269.93243243243245</v>
      </c>
      <c r="I16">
        <v>0.41399999999999998</v>
      </c>
    </row>
    <row r="17" spans="1:9" x14ac:dyDescent="0.2">
      <c r="A17" t="s">
        <v>116</v>
      </c>
      <c r="B17" t="s">
        <v>54</v>
      </c>
      <c r="C17" t="s">
        <v>53</v>
      </c>
      <c r="E17">
        <v>0.29599999999999999</v>
      </c>
      <c r="F17" s="4">
        <v>53.9</v>
      </c>
      <c r="H17" s="3">
        <f t="shared" si="0"/>
        <v>182.09459459459461</v>
      </c>
      <c r="I17">
        <v>0.41399999999999998</v>
      </c>
    </row>
    <row r="18" spans="1:9" x14ac:dyDescent="0.2">
      <c r="A18" t="s">
        <v>116</v>
      </c>
      <c r="B18" t="s">
        <v>36</v>
      </c>
      <c r="C18" t="s">
        <v>63</v>
      </c>
      <c r="D18" t="s">
        <v>63</v>
      </c>
      <c r="E18">
        <v>0.29599999999999999</v>
      </c>
      <c r="F18" s="4">
        <v>80</v>
      </c>
      <c r="H18" s="3">
        <f t="shared" si="0"/>
        <v>270.27027027027026</v>
      </c>
      <c r="I18">
        <v>0.41399999999999998</v>
      </c>
    </row>
    <row r="19" spans="1:9" x14ac:dyDescent="0.2">
      <c r="A19" t="s">
        <v>116</v>
      </c>
      <c r="B19" t="s">
        <v>36</v>
      </c>
      <c r="C19" t="s">
        <v>26</v>
      </c>
      <c r="E19">
        <v>0.29599999999999999</v>
      </c>
      <c r="F19" s="4">
        <v>71</v>
      </c>
      <c r="H19" s="3">
        <f t="shared" si="0"/>
        <v>239.86486486486487</v>
      </c>
      <c r="I19">
        <v>0.41399999999999998</v>
      </c>
    </row>
    <row r="20" spans="1:9" x14ac:dyDescent="0.2">
      <c r="A20" t="s">
        <v>116</v>
      </c>
      <c r="B20" t="s">
        <v>36</v>
      </c>
      <c r="C20" t="s">
        <v>27</v>
      </c>
      <c r="D20" t="s">
        <v>27</v>
      </c>
      <c r="E20">
        <v>0.29599999999999999</v>
      </c>
      <c r="F20" s="4">
        <v>84</v>
      </c>
      <c r="H20" s="3">
        <f t="shared" si="0"/>
        <v>283.7837837837838</v>
      </c>
      <c r="I20">
        <v>0.41399999999999998</v>
      </c>
    </row>
    <row r="21" spans="1:9" x14ac:dyDescent="0.2">
      <c r="A21" t="s">
        <v>116</v>
      </c>
      <c r="B21" t="s">
        <v>64</v>
      </c>
      <c r="C21" t="s">
        <v>63</v>
      </c>
      <c r="D21" t="s">
        <v>63</v>
      </c>
      <c r="E21">
        <v>0.3</v>
      </c>
      <c r="F21" s="4">
        <v>51</v>
      </c>
      <c r="H21" s="3">
        <f t="shared" si="0"/>
        <v>170</v>
      </c>
      <c r="I21">
        <v>0.41399999999999998</v>
      </c>
    </row>
    <row r="22" spans="1:9" x14ac:dyDescent="0.2">
      <c r="A22" t="s">
        <v>116</v>
      </c>
      <c r="B22" t="s">
        <v>66</v>
      </c>
      <c r="C22" t="s">
        <v>63</v>
      </c>
      <c r="D22" t="s">
        <v>63</v>
      </c>
      <c r="E22">
        <v>0.3</v>
      </c>
      <c r="F22" s="4">
        <v>23</v>
      </c>
      <c r="H22" s="3">
        <f t="shared" si="0"/>
        <v>76.666666666666671</v>
      </c>
      <c r="I22">
        <v>0.41399999999999998</v>
      </c>
    </row>
    <row r="23" spans="1:9" x14ac:dyDescent="0.2">
      <c r="A23" t="s">
        <v>116</v>
      </c>
      <c r="B23" t="s">
        <v>70</v>
      </c>
      <c r="C23" t="s">
        <v>63</v>
      </c>
      <c r="D23" t="s">
        <v>63</v>
      </c>
      <c r="E23">
        <v>0.3</v>
      </c>
      <c r="F23" s="4">
        <v>49</v>
      </c>
      <c r="H23" s="3">
        <f t="shared" si="0"/>
        <v>163.33333333333334</v>
      </c>
      <c r="I23">
        <v>0.41399999999999998</v>
      </c>
    </row>
    <row r="24" spans="1:9" x14ac:dyDescent="0.2">
      <c r="A24" t="s">
        <v>116</v>
      </c>
      <c r="B24" t="s">
        <v>95</v>
      </c>
      <c r="C24" t="s">
        <v>27</v>
      </c>
      <c r="D24" t="s">
        <v>27</v>
      </c>
      <c r="E24">
        <v>0.3</v>
      </c>
      <c r="F24" s="4">
        <v>48</v>
      </c>
      <c r="H24" s="3">
        <f t="shared" si="0"/>
        <v>160</v>
      </c>
      <c r="I24">
        <v>0.41399999999999998</v>
      </c>
    </row>
    <row r="25" spans="1:9" x14ac:dyDescent="0.2">
      <c r="A25" t="s">
        <v>116</v>
      </c>
      <c r="B25" t="s">
        <v>63</v>
      </c>
      <c r="C25" t="s">
        <v>63</v>
      </c>
      <c r="D25" t="s">
        <v>63</v>
      </c>
      <c r="E25">
        <v>0.35</v>
      </c>
      <c r="F25" s="4">
        <v>20</v>
      </c>
      <c r="H25" s="3">
        <f t="shared" si="0"/>
        <v>57.142857142857146</v>
      </c>
      <c r="I25">
        <v>0.41399999999999998</v>
      </c>
    </row>
    <row r="26" spans="1:9" x14ac:dyDescent="0.2">
      <c r="A26" t="s">
        <v>116</v>
      </c>
      <c r="B26" t="s">
        <v>40</v>
      </c>
      <c r="C26" t="s">
        <v>23</v>
      </c>
      <c r="D26" t="s">
        <v>23</v>
      </c>
      <c r="E26">
        <v>0.35499999999999998</v>
      </c>
      <c r="F26" s="4">
        <v>26</v>
      </c>
      <c r="H26" s="3">
        <f t="shared" si="0"/>
        <v>73.239436619718319</v>
      </c>
      <c r="I26">
        <v>0.41399999999999998</v>
      </c>
    </row>
    <row r="27" spans="1:9" x14ac:dyDescent="0.2">
      <c r="A27" t="s">
        <v>116</v>
      </c>
      <c r="B27" t="s">
        <v>40</v>
      </c>
      <c r="C27" t="s">
        <v>26</v>
      </c>
      <c r="E27">
        <v>0.35499999999999998</v>
      </c>
      <c r="F27" s="4">
        <v>26</v>
      </c>
      <c r="H27" s="3">
        <f t="shared" si="0"/>
        <v>73.239436619718319</v>
      </c>
      <c r="I27">
        <v>0.41399999999999998</v>
      </c>
    </row>
    <row r="28" spans="1:9" x14ac:dyDescent="0.2">
      <c r="A28" t="s">
        <v>116</v>
      </c>
      <c r="B28" t="s">
        <v>40</v>
      </c>
      <c r="C28" t="s">
        <v>27</v>
      </c>
      <c r="D28" t="s">
        <v>27</v>
      </c>
      <c r="E28">
        <v>0.35499999999999998</v>
      </c>
      <c r="F28" s="4">
        <v>24</v>
      </c>
      <c r="H28" s="3">
        <f t="shared" si="0"/>
        <v>67.605633802816911</v>
      </c>
      <c r="I28">
        <v>0.41399999999999998</v>
      </c>
    </row>
    <row r="29" spans="1:9" x14ac:dyDescent="0.2">
      <c r="A29" t="s">
        <v>116</v>
      </c>
      <c r="B29" t="s">
        <v>55</v>
      </c>
      <c r="C29" t="s">
        <v>27</v>
      </c>
      <c r="D29" t="s">
        <v>27</v>
      </c>
      <c r="E29">
        <v>0.35499999999999998</v>
      </c>
      <c r="F29" s="4">
        <v>24</v>
      </c>
      <c r="H29" s="3">
        <f t="shared" si="0"/>
        <v>67.605633802816911</v>
      </c>
      <c r="I29">
        <v>0.41399999999999998</v>
      </c>
    </row>
    <row r="30" spans="1:9" x14ac:dyDescent="0.2">
      <c r="A30" t="s">
        <v>116</v>
      </c>
      <c r="B30" t="s">
        <v>43</v>
      </c>
      <c r="C30" t="s">
        <v>23</v>
      </c>
      <c r="D30" t="s">
        <v>23</v>
      </c>
      <c r="E30">
        <v>0.44400000000000001</v>
      </c>
      <c r="F30" s="4">
        <v>50</v>
      </c>
      <c r="H30" s="3">
        <f t="shared" ref="H30:H55" si="1">F30/E30</f>
        <v>112.61261261261261</v>
      </c>
      <c r="I30">
        <v>0.41399999999999998</v>
      </c>
    </row>
    <row r="31" spans="1:9" x14ac:dyDescent="0.2">
      <c r="A31" t="s">
        <v>116</v>
      </c>
      <c r="B31" t="s">
        <v>43</v>
      </c>
      <c r="C31" t="s">
        <v>26</v>
      </c>
      <c r="E31">
        <v>0.44400000000000001</v>
      </c>
      <c r="F31" s="4">
        <v>50</v>
      </c>
      <c r="H31" s="3">
        <f t="shared" si="1"/>
        <v>112.61261261261261</v>
      </c>
      <c r="I31">
        <v>0.41399999999999998</v>
      </c>
    </row>
    <row r="32" spans="1:9" x14ac:dyDescent="0.2">
      <c r="A32" t="s">
        <v>116</v>
      </c>
      <c r="B32" t="s">
        <v>41</v>
      </c>
      <c r="C32" t="s">
        <v>23</v>
      </c>
      <c r="D32" t="s">
        <v>23</v>
      </c>
      <c r="E32">
        <v>0.5</v>
      </c>
      <c r="F32" s="4">
        <v>35</v>
      </c>
      <c r="H32" s="3">
        <f t="shared" si="1"/>
        <v>70</v>
      </c>
      <c r="I32">
        <v>0.41399999999999998</v>
      </c>
    </row>
    <row r="33" spans="1:9" x14ac:dyDescent="0.2">
      <c r="A33" t="s">
        <v>116</v>
      </c>
      <c r="B33" t="s">
        <v>44</v>
      </c>
      <c r="C33" t="s">
        <v>23</v>
      </c>
      <c r="D33" t="s">
        <v>23</v>
      </c>
      <c r="E33">
        <v>0.5</v>
      </c>
      <c r="F33" s="4">
        <v>85</v>
      </c>
      <c r="H33" s="3">
        <f t="shared" si="1"/>
        <v>170</v>
      </c>
      <c r="I33">
        <v>0.41399999999999998</v>
      </c>
    </row>
    <row r="34" spans="1:9" x14ac:dyDescent="0.2">
      <c r="A34" t="s">
        <v>116</v>
      </c>
      <c r="B34" t="s">
        <v>20</v>
      </c>
      <c r="C34" t="s">
        <v>63</v>
      </c>
      <c r="D34" t="s">
        <v>63</v>
      </c>
      <c r="E34">
        <v>0.5</v>
      </c>
      <c r="F34" s="4">
        <v>80</v>
      </c>
      <c r="H34" s="3">
        <f t="shared" si="1"/>
        <v>160</v>
      </c>
      <c r="I34">
        <v>0.41399999999999998</v>
      </c>
    </row>
    <row r="35" spans="1:9" x14ac:dyDescent="0.2">
      <c r="A35" t="s">
        <v>116</v>
      </c>
      <c r="B35" t="s">
        <v>41</v>
      </c>
      <c r="C35" t="s">
        <v>26</v>
      </c>
      <c r="E35">
        <v>0.5</v>
      </c>
      <c r="F35" s="4">
        <v>35</v>
      </c>
      <c r="H35" s="3">
        <f t="shared" si="1"/>
        <v>70</v>
      </c>
      <c r="I35">
        <v>0.41399999999999998</v>
      </c>
    </row>
    <row r="36" spans="1:9" x14ac:dyDescent="0.2">
      <c r="A36" t="s">
        <v>116</v>
      </c>
      <c r="B36" t="s">
        <v>44</v>
      </c>
      <c r="C36" t="s">
        <v>26</v>
      </c>
      <c r="E36">
        <v>0.5</v>
      </c>
      <c r="F36" s="4">
        <v>85</v>
      </c>
      <c r="H36" s="3">
        <f t="shared" si="1"/>
        <v>170</v>
      </c>
      <c r="I36">
        <v>0.41399999999999998</v>
      </c>
    </row>
    <row r="37" spans="1:9" x14ac:dyDescent="0.2">
      <c r="A37" t="s">
        <v>116</v>
      </c>
      <c r="B37" t="s">
        <v>44</v>
      </c>
      <c r="C37" t="s">
        <v>27</v>
      </c>
      <c r="D37" t="s">
        <v>27</v>
      </c>
      <c r="E37">
        <v>0.5</v>
      </c>
      <c r="F37" s="4">
        <v>89</v>
      </c>
      <c r="H37" s="3">
        <f t="shared" si="1"/>
        <v>178</v>
      </c>
      <c r="I37">
        <v>0.41399999999999998</v>
      </c>
    </row>
    <row r="38" spans="1:9" x14ac:dyDescent="0.2">
      <c r="A38" t="s">
        <v>116</v>
      </c>
      <c r="B38" t="s">
        <v>91</v>
      </c>
      <c r="C38" t="s">
        <v>27</v>
      </c>
      <c r="D38" t="s">
        <v>27</v>
      </c>
      <c r="E38">
        <v>0.5</v>
      </c>
      <c r="F38" s="4">
        <v>83.9</v>
      </c>
      <c r="H38" s="3">
        <f t="shared" si="1"/>
        <v>167.8</v>
      </c>
      <c r="I38">
        <v>0.41399999999999998</v>
      </c>
    </row>
    <row r="39" spans="1:9" x14ac:dyDescent="0.2">
      <c r="A39" t="s">
        <v>116</v>
      </c>
      <c r="B39" t="s">
        <v>36</v>
      </c>
      <c r="C39" t="s">
        <v>23</v>
      </c>
      <c r="D39" s="5" t="s">
        <v>23</v>
      </c>
      <c r="E39">
        <v>0.59099999999999997</v>
      </c>
      <c r="F39" s="4">
        <v>131.96</v>
      </c>
      <c r="H39" s="3">
        <f t="shared" si="1"/>
        <v>223.28257191201357</v>
      </c>
      <c r="I39">
        <v>0.41399999999999998</v>
      </c>
    </row>
    <row r="40" spans="1:9" x14ac:dyDescent="0.2">
      <c r="A40" t="s">
        <v>116</v>
      </c>
      <c r="B40" t="s">
        <v>46</v>
      </c>
      <c r="C40" t="s">
        <v>21</v>
      </c>
      <c r="D40" t="s">
        <v>47</v>
      </c>
      <c r="E40">
        <v>1</v>
      </c>
      <c r="F40" s="4">
        <v>28</v>
      </c>
      <c r="H40" s="3">
        <f t="shared" si="1"/>
        <v>28</v>
      </c>
      <c r="I40">
        <v>0.94599999999999995</v>
      </c>
    </row>
    <row r="41" spans="1:9" x14ac:dyDescent="0.2">
      <c r="A41" t="s">
        <v>116</v>
      </c>
      <c r="B41" t="s">
        <v>55</v>
      </c>
      <c r="C41" t="s">
        <v>53</v>
      </c>
      <c r="E41">
        <v>1</v>
      </c>
      <c r="F41" s="4">
        <v>46.5</v>
      </c>
      <c r="H41" s="3">
        <f t="shared" si="1"/>
        <v>46.5</v>
      </c>
      <c r="I41">
        <v>0.94599999999999995</v>
      </c>
    </row>
    <row r="42" spans="1:9" x14ac:dyDescent="0.2">
      <c r="A42" t="s">
        <v>116</v>
      </c>
      <c r="B42" t="s">
        <v>63</v>
      </c>
      <c r="C42" t="s">
        <v>63</v>
      </c>
      <c r="D42" t="s">
        <v>63</v>
      </c>
      <c r="E42">
        <v>1</v>
      </c>
      <c r="F42" s="4">
        <v>46</v>
      </c>
      <c r="H42" s="3">
        <f t="shared" si="1"/>
        <v>46</v>
      </c>
      <c r="I42">
        <v>0.94599999999999995</v>
      </c>
    </row>
    <row r="43" spans="1:9" x14ac:dyDescent="0.2">
      <c r="A43" t="s">
        <v>116</v>
      </c>
      <c r="B43" t="s">
        <v>78</v>
      </c>
      <c r="C43" t="s">
        <v>63</v>
      </c>
      <c r="D43" t="s">
        <v>63</v>
      </c>
      <c r="E43">
        <v>1</v>
      </c>
      <c r="F43" s="4">
        <v>59.5</v>
      </c>
      <c r="H43" s="3">
        <f t="shared" si="1"/>
        <v>59.5</v>
      </c>
      <c r="I43">
        <v>0.94599999999999995</v>
      </c>
    </row>
    <row r="44" spans="1:9" x14ac:dyDescent="0.2">
      <c r="A44" t="s">
        <v>116</v>
      </c>
      <c r="B44" t="s">
        <v>40</v>
      </c>
      <c r="C44" t="s">
        <v>27</v>
      </c>
      <c r="D44" t="s">
        <v>27</v>
      </c>
      <c r="E44">
        <v>1</v>
      </c>
      <c r="F44" s="4">
        <v>49</v>
      </c>
      <c r="H44" s="3">
        <f t="shared" si="1"/>
        <v>49</v>
      </c>
      <c r="I44">
        <v>0.94599999999999995</v>
      </c>
    </row>
    <row r="45" spans="1:9" x14ac:dyDescent="0.2">
      <c r="A45" t="s">
        <v>116</v>
      </c>
      <c r="B45" t="s">
        <v>55</v>
      </c>
      <c r="C45" t="s">
        <v>27</v>
      </c>
      <c r="D45" t="s">
        <v>27</v>
      </c>
      <c r="E45">
        <v>1</v>
      </c>
      <c r="F45" s="4">
        <v>44</v>
      </c>
      <c r="H45" s="3">
        <f t="shared" si="1"/>
        <v>44</v>
      </c>
      <c r="I45">
        <v>0.94599999999999995</v>
      </c>
    </row>
    <row r="46" spans="1:9" x14ac:dyDescent="0.2">
      <c r="A46" t="s">
        <v>116</v>
      </c>
      <c r="B46" t="s">
        <v>97</v>
      </c>
      <c r="C46" t="s">
        <v>27</v>
      </c>
      <c r="D46" t="s">
        <v>27</v>
      </c>
      <c r="E46">
        <v>1</v>
      </c>
      <c r="F46" s="4">
        <v>166</v>
      </c>
      <c r="H46" s="3">
        <f t="shared" si="1"/>
        <v>166</v>
      </c>
      <c r="I46">
        <v>0.94599999999999995</v>
      </c>
    </row>
    <row r="47" spans="1:9" x14ac:dyDescent="0.2">
      <c r="A47" t="s">
        <v>116</v>
      </c>
      <c r="B47" t="s">
        <v>42</v>
      </c>
      <c r="C47" t="s">
        <v>33</v>
      </c>
      <c r="E47">
        <v>1.8</v>
      </c>
      <c r="F47" s="4">
        <v>175</v>
      </c>
      <c r="H47" s="3">
        <f t="shared" si="1"/>
        <v>97.222222222222214</v>
      </c>
      <c r="I47">
        <v>3.78</v>
      </c>
    </row>
    <row r="48" spans="1:9" x14ac:dyDescent="0.2">
      <c r="A48" t="s">
        <v>116</v>
      </c>
      <c r="B48" t="s">
        <v>36</v>
      </c>
      <c r="C48" t="s">
        <v>52</v>
      </c>
      <c r="D48" t="s">
        <v>52</v>
      </c>
      <c r="E48">
        <v>1.89</v>
      </c>
      <c r="F48" s="4">
        <v>329</v>
      </c>
      <c r="H48" s="3">
        <f t="shared" si="1"/>
        <v>174.07407407407408</v>
      </c>
      <c r="I48">
        <v>3.78</v>
      </c>
    </row>
    <row r="49" spans="1:9" x14ac:dyDescent="0.2">
      <c r="A49" t="s">
        <v>116</v>
      </c>
      <c r="B49" t="s">
        <v>36</v>
      </c>
      <c r="C49" t="s">
        <v>53</v>
      </c>
      <c r="E49">
        <v>1.89</v>
      </c>
      <c r="F49" s="4">
        <v>282</v>
      </c>
      <c r="H49" s="3">
        <f t="shared" si="1"/>
        <v>149.20634920634922</v>
      </c>
      <c r="I49">
        <v>3.78</v>
      </c>
    </row>
    <row r="50" spans="1:9" x14ac:dyDescent="0.2">
      <c r="A50" t="s">
        <v>116</v>
      </c>
      <c r="B50" t="s">
        <v>84</v>
      </c>
      <c r="C50" t="s">
        <v>23</v>
      </c>
      <c r="D50" s="5" t="s">
        <v>23</v>
      </c>
      <c r="E50">
        <v>2</v>
      </c>
      <c r="F50" s="4">
        <v>258.81</v>
      </c>
      <c r="H50" s="3">
        <f t="shared" si="1"/>
        <v>129.405</v>
      </c>
      <c r="I50">
        <v>3.78</v>
      </c>
    </row>
    <row r="51" spans="1:9" x14ac:dyDescent="0.2">
      <c r="A51" t="s">
        <v>116</v>
      </c>
      <c r="B51" t="s">
        <v>54</v>
      </c>
      <c r="C51" t="s">
        <v>53</v>
      </c>
      <c r="E51">
        <v>3.78</v>
      </c>
      <c r="F51" s="4">
        <v>322</v>
      </c>
      <c r="H51" s="3">
        <f t="shared" si="1"/>
        <v>85.18518518518519</v>
      </c>
      <c r="I51">
        <v>3.78</v>
      </c>
    </row>
    <row r="52" spans="1:9" x14ac:dyDescent="0.2">
      <c r="A52" t="s">
        <v>116</v>
      </c>
      <c r="B52" t="s">
        <v>46</v>
      </c>
      <c r="C52" t="s">
        <v>21</v>
      </c>
      <c r="D52" t="s">
        <v>47</v>
      </c>
      <c r="E52">
        <v>5</v>
      </c>
      <c r="F52" s="4">
        <v>114</v>
      </c>
      <c r="H52" s="3">
        <f t="shared" si="1"/>
        <v>22.8</v>
      </c>
      <c r="I52">
        <v>3.78</v>
      </c>
    </row>
    <row r="53" spans="1:9" x14ac:dyDescent="0.2">
      <c r="A53" t="s">
        <v>116</v>
      </c>
      <c r="B53" t="s">
        <v>32</v>
      </c>
      <c r="C53" t="s">
        <v>21</v>
      </c>
      <c r="D53" t="s">
        <v>48</v>
      </c>
      <c r="E53">
        <v>5</v>
      </c>
      <c r="F53" s="4">
        <v>143</v>
      </c>
      <c r="H53" s="3">
        <f t="shared" si="1"/>
        <v>28.6</v>
      </c>
      <c r="I53">
        <v>3.78</v>
      </c>
    </row>
    <row r="54" spans="1:9" x14ac:dyDescent="0.2">
      <c r="A54" t="s">
        <v>116</v>
      </c>
      <c r="B54" t="s">
        <v>55</v>
      </c>
      <c r="C54" t="s">
        <v>53</v>
      </c>
      <c r="E54">
        <v>5</v>
      </c>
      <c r="F54" s="4">
        <v>158</v>
      </c>
      <c r="H54" s="3">
        <f t="shared" si="1"/>
        <v>31.6</v>
      </c>
      <c r="I54">
        <v>3.78</v>
      </c>
    </row>
    <row r="55" spans="1:9" x14ac:dyDescent="0.2">
      <c r="A55" t="s">
        <v>116</v>
      </c>
      <c r="B55" t="s">
        <v>85</v>
      </c>
      <c r="C55" t="s">
        <v>23</v>
      </c>
      <c r="D55" s="5" t="s">
        <v>23</v>
      </c>
      <c r="E55">
        <v>20</v>
      </c>
      <c r="F55" s="4">
        <v>484</v>
      </c>
      <c r="H55" s="3">
        <f t="shared" si="1"/>
        <v>24.2</v>
      </c>
      <c r="I55">
        <v>20</v>
      </c>
    </row>
    <row r="56" spans="1:9" x14ac:dyDescent="0.2">
      <c r="A56" t="s">
        <v>98</v>
      </c>
      <c r="B56" t="s">
        <v>145</v>
      </c>
      <c r="E56">
        <v>3.78</v>
      </c>
      <c r="F56" s="4">
        <f>VLOOKUP(B56,'260324 costeo'!C:AG,31,0)</f>
        <v>114.75014377510041</v>
      </c>
      <c r="H56" s="3">
        <f t="shared" ref="H56:H59" si="2">F56/E56</f>
        <v>30.357180892883708</v>
      </c>
    </row>
    <row r="57" spans="1:9" x14ac:dyDescent="0.2">
      <c r="A57" t="s">
        <v>98</v>
      </c>
      <c r="B57" t="s">
        <v>137</v>
      </c>
      <c r="E57">
        <v>20</v>
      </c>
      <c r="F57" s="4">
        <f>VLOOKUP(B57,'260324 costeo'!C:AG,31,0)</f>
        <v>529.03998974621891</v>
      </c>
      <c r="H57" s="3">
        <f t="shared" si="2"/>
        <v>26.451999487310946</v>
      </c>
    </row>
    <row r="58" spans="1:9" x14ac:dyDescent="0.2">
      <c r="A58" t="s">
        <v>98</v>
      </c>
      <c r="B58" t="s">
        <v>143</v>
      </c>
      <c r="E58">
        <v>0.94599999999999995</v>
      </c>
      <c r="F58" s="4">
        <f>VLOOKUP(B58,'260324 costeo'!C:AG,31,0)</f>
        <v>56.272061535219429</v>
      </c>
      <c r="H58" s="3">
        <f t="shared" si="2"/>
        <v>59.484208811014199</v>
      </c>
    </row>
    <row r="59" spans="1:9" x14ac:dyDescent="0.2">
      <c r="A59" t="s">
        <v>98</v>
      </c>
      <c r="B59" t="s">
        <v>144</v>
      </c>
      <c r="E59">
        <v>0.41399999999999998</v>
      </c>
      <c r="F59" s="4">
        <f>VLOOKUP(B59,'260324 costeo'!C:AG,31,0)</f>
        <v>35.137284736150491</v>
      </c>
      <c r="H59" s="3">
        <f t="shared" si="2"/>
        <v>84.872668444807957</v>
      </c>
    </row>
    <row r="60" spans="1:9" x14ac:dyDescent="0.2">
      <c r="A60" t="s">
        <v>116</v>
      </c>
      <c r="C60" t="s">
        <v>24</v>
      </c>
      <c r="H60" s="3"/>
    </row>
    <row r="61" spans="1:9" x14ac:dyDescent="0.2">
      <c r="A61" t="s">
        <v>116</v>
      </c>
      <c r="C61" t="s">
        <v>62</v>
      </c>
      <c r="H61" s="3"/>
    </row>
    <row r="62" spans="1:9" x14ac:dyDescent="0.2">
      <c r="A62" t="s">
        <v>116</v>
      </c>
      <c r="C62" t="s">
        <v>24</v>
      </c>
      <c r="D62" t="s">
        <v>24</v>
      </c>
      <c r="H62" s="3"/>
    </row>
    <row r="63" spans="1:9" x14ac:dyDescent="0.2">
      <c r="A63" t="s">
        <v>116</v>
      </c>
      <c r="C63" t="s">
        <v>79</v>
      </c>
    </row>
  </sheetData>
  <autoFilter ref="A1:I1" xr:uid="{59BDB31D-80E2-E341-A547-2D6E9DA6FC5F}">
    <sortState xmlns:xlrd2="http://schemas.microsoft.com/office/spreadsheetml/2017/richdata2" ref="A2:I63">
      <sortCondition ref="I1:I6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260729 costeo</vt:lpstr>
      <vt:lpstr>260324 costeo</vt:lpstr>
      <vt:lpstr>P-0403 - Ostion</vt:lpstr>
      <vt:lpstr>P-0404 Teriyaki</vt:lpstr>
      <vt:lpstr>P-0408 Mayo Chipotle</vt:lpstr>
      <vt:lpstr>P-0410 Sriracha</vt:lpstr>
      <vt:lpstr>P-0402 Soya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a</cp:lastModifiedBy>
  <dcterms:created xsi:type="dcterms:W3CDTF">2026-03-24T14:26:02Z</dcterms:created>
  <dcterms:modified xsi:type="dcterms:W3CDTF">2026-08-17T18:46:55Z</dcterms:modified>
</cp:coreProperties>
</file>