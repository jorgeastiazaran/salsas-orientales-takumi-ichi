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jorgeastiazaran/Library/CloudStorage/GoogleDrive-tecnofoodmx@gmail.com/My Drive/Tecnofood-Mr Wings/PRODUCCIÓN Y DESARROLLO/DESARROLLO/Innovación/Salsas orientales/"/>
    </mc:Choice>
  </mc:AlternateContent>
  <xr:revisionPtr revIDLastSave="0" documentId="13_ncr:1_{51E33948-A7B5-854F-B007-5424E08DBF58}" xr6:coauthVersionLast="47" xr6:coauthVersionMax="47" xr10:uidLastSave="{00000000-0000-0000-0000-000000000000}"/>
  <bookViews>
    <workbookView xWindow="3760" yWindow="22280" windowWidth="29400" windowHeight="18440" xr2:uid="{00000000-000D-0000-FFFF-FFFF00000000}"/>
  </bookViews>
  <sheets>
    <sheet name="BOM" sheetId="1" r:id="rId1"/>
  </sheets>
  <definedNames>
    <definedName name="_xlnm._FilterDatabase" localSheetId="0" hidden="1">BOM!$A$1:$O$1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K3" i="1"/>
  <c r="K4" i="1" s="1"/>
  <c r="K5" i="1" s="1"/>
  <c r="K6" i="1" l="1"/>
  <c r="K7" i="1"/>
  <c r="K8" i="1" s="1"/>
</calcChain>
</file>

<file path=xl/sharedStrings.xml><?xml version="1.0" encoding="utf-8"?>
<sst xmlns="http://schemas.openxmlformats.org/spreadsheetml/2006/main" count="71" uniqueCount="44">
  <si>
    <t>Sr</t>
  </si>
  <si>
    <t>Name</t>
  </si>
  <si>
    <t>Docstatus</t>
  </si>
  <si>
    <t>Item</t>
  </si>
  <si>
    <t>Item Name</t>
  </si>
  <si>
    <t>Is Active</t>
  </si>
  <si>
    <t>Quantity</t>
  </si>
  <si>
    <t>Total Cost (Company Currency)</t>
  </si>
  <si>
    <t>Item Code</t>
  </si>
  <si>
    <t>BOM: Item Name</t>
  </si>
  <si>
    <t>Stock Qty</t>
  </si>
  <si>
    <t>Stock UOM</t>
  </si>
  <si>
    <t>Basic Rate (Company Currency)</t>
  </si>
  <si>
    <t>Amount (Company Currency)</t>
  </si>
  <si>
    <t>BOM: Name</t>
  </si>
  <si>
    <t>BOM-P-0217-004</t>
  </si>
  <si>
    <t>P-0217</t>
  </si>
  <si>
    <t>Salsa Mango Habanero 946 ml</t>
  </si>
  <si>
    <t>E-0221</t>
  </si>
  <si>
    <t>Emplaye</t>
  </si>
  <si>
    <t>kg</t>
  </si>
  <si>
    <t>1517db637f</t>
  </si>
  <si>
    <t>E-0367</t>
  </si>
  <si>
    <t>CINTA TRANSPARENTE APLICACION AUTOMATICA</t>
  </si>
  <si>
    <t>pz</t>
  </si>
  <si>
    <t>2ecbc232af</t>
  </si>
  <si>
    <t>41610f1055</t>
  </si>
  <si>
    <t>7e9e47c864</t>
  </si>
  <si>
    <t>8f6d60f131</t>
  </si>
  <si>
    <t>E-0249</t>
  </si>
  <si>
    <t>TAPA TWIST TOP LISA PARA ADEREZO R-38/400 NEGRO STL</t>
  </si>
  <si>
    <t>d56034e18b</t>
  </si>
  <si>
    <t>ea96b40e55</t>
  </si>
  <si>
    <t>E-0229</t>
  </si>
  <si>
    <t>Cinta Janel transparente</t>
  </si>
  <si>
    <t>ec0931d34d</t>
  </si>
  <si>
    <t>E-0252</t>
  </si>
  <si>
    <t>Botella 414 ml Mr Wings (35g HDPE nat)</t>
  </si>
  <si>
    <t>E-0238</t>
  </si>
  <si>
    <t>Etiq Autoadh (155.6 x 110 mm) Salsa Mango Habanero 414 ml</t>
  </si>
  <si>
    <t>E-0250</t>
  </si>
  <si>
    <t>Caja Corr Mr Wings (12 x 414ml) (24 x 18 x 21.5 cm)</t>
  </si>
  <si>
    <t>E-0261</t>
  </si>
  <si>
    <t>Etiq Autoadh (para CORRUGADO) Salsa Mango Habanero 12 x 414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</si>
</sst>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K2" sqref="K2:L9"/>
    </sheetView>
  </sheetViews>
  <sheetFormatPr baseColWidth="10" defaultColWidth="8.83203125" defaultRowHeight="15" x14ac:dyDescent="0.2"/>
  <sheetData>
    <row r="1" spans="1:15" s="1" customForma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4</v>
      </c>
      <c r="B2" t="s">
        <v>15</v>
      </c>
      <c r="C2">
        <v>1</v>
      </c>
      <c r="D2" t="s">
        <v>16</v>
      </c>
      <c r="E2" t="s">
        <v>17</v>
      </c>
      <c r="F2">
        <v>1</v>
      </c>
      <c r="G2">
        <v>1188</v>
      </c>
      <c r="H2">
        <v>34204.040910000003</v>
      </c>
      <c r="I2" t="s">
        <v>36</v>
      </c>
      <c r="J2" t="s">
        <v>37</v>
      </c>
      <c r="K2">
        <v>2219</v>
      </c>
      <c r="L2" t="s">
        <v>24</v>
      </c>
      <c r="M2">
        <v>3.38</v>
      </c>
      <c r="N2">
        <v>6593.4</v>
      </c>
      <c r="O2" t="s">
        <v>27</v>
      </c>
    </row>
    <row r="3" spans="1:15" x14ac:dyDescent="0.2">
      <c r="A3">
        <v>8</v>
      </c>
      <c r="B3" t="s">
        <v>15</v>
      </c>
      <c r="C3">
        <v>1</v>
      </c>
      <c r="D3" t="s">
        <v>16</v>
      </c>
      <c r="E3" t="s">
        <v>17</v>
      </c>
      <c r="F3">
        <v>1</v>
      </c>
      <c r="G3">
        <v>1188</v>
      </c>
      <c r="H3">
        <v>34204.040910000003</v>
      </c>
      <c r="I3" t="s">
        <v>38</v>
      </c>
      <c r="J3" t="s">
        <v>39</v>
      </c>
      <c r="K3">
        <f>K2</f>
        <v>2219</v>
      </c>
      <c r="L3" t="s">
        <v>24</v>
      </c>
      <c r="M3">
        <v>3.9242612139999999</v>
      </c>
      <c r="N3">
        <v>4656.96</v>
      </c>
      <c r="O3" t="s">
        <v>32</v>
      </c>
    </row>
    <row r="4" spans="1:15" x14ac:dyDescent="0.2">
      <c r="A4">
        <v>7</v>
      </c>
      <c r="B4" t="s">
        <v>15</v>
      </c>
      <c r="C4">
        <v>1</v>
      </c>
      <c r="D4" t="s">
        <v>16</v>
      </c>
      <c r="E4" t="s">
        <v>17</v>
      </c>
      <c r="F4">
        <v>1</v>
      </c>
      <c r="G4">
        <v>1188</v>
      </c>
      <c r="H4">
        <v>34204.040910000003</v>
      </c>
      <c r="I4" t="s">
        <v>29</v>
      </c>
      <c r="J4" t="s">
        <v>30</v>
      </c>
      <c r="K4">
        <f>K3</f>
        <v>2219</v>
      </c>
      <c r="L4" t="s">
        <v>24</v>
      </c>
      <c r="M4">
        <v>1.9888244980000001</v>
      </c>
      <c r="N4">
        <v>2364.12</v>
      </c>
      <c r="O4" t="s">
        <v>31</v>
      </c>
    </row>
    <row r="5" spans="1:15" x14ac:dyDescent="0.2">
      <c r="A5">
        <v>3</v>
      </c>
      <c r="B5" t="s">
        <v>15</v>
      </c>
      <c r="C5">
        <v>1</v>
      </c>
      <c r="D5" t="s">
        <v>16</v>
      </c>
      <c r="E5" t="s">
        <v>17</v>
      </c>
      <c r="F5">
        <v>1</v>
      </c>
      <c r="G5">
        <v>1188</v>
      </c>
      <c r="H5">
        <v>34204.040910000003</v>
      </c>
      <c r="I5" t="s">
        <v>40</v>
      </c>
      <c r="J5" t="s">
        <v>41</v>
      </c>
      <c r="K5">
        <f>K4/12</f>
        <v>184.91666666666666</v>
      </c>
      <c r="L5" t="s">
        <v>24</v>
      </c>
      <c r="M5">
        <v>21.99</v>
      </c>
      <c r="N5">
        <v>2177.0100000000002</v>
      </c>
      <c r="O5" t="s">
        <v>26</v>
      </c>
    </row>
    <row r="6" spans="1:15" x14ac:dyDescent="0.2">
      <c r="A6">
        <v>5</v>
      </c>
      <c r="B6" t="s">
        <v>15</v>
      </c>
      <c r="C6">
        <v>1</v>
      </c>
      <c r="D6" t="s">
        <v>16</v>
      </c>
      <c r="E6" t="s">
        <v>17</v>
      </c>
      <c r="F6">
        <v>1</v>
      </c>
      <c r="G6">
        <v>1188</v>
      </c>
      <c r="H6">
        <v>34204.040910000003</v>
      </c>
      <c r="I6" t="s">
        <v>42</v>
      </c>
      <c r="J6" t="s">
        <v>43</v>
      </c>
      <c r="K6">
        <f>K5*2</f>
        <v>369.83333333333331</v>
      </c>
      <c r="L6" t="s">
        <v>24</v>
      </c>
      <c r="M6">
        <v>1.7830519920000001</v>
      </c>
      <c r="N6">
        <v>352.44</v>
      </c>
      <c r="O6" t="s">
        <v>28</v>
      </c>
    </row>
    <row r="7" spans="1:15" x14ac:dyDescent="0.2">
      <c r="A7">
        <v>9</v>
      </c>
      <c r="B7" t="s">
        <v>15</v>
      </c>
      <c r="C7">
        <v>1</v>
      </c>
      <c r="D7" t="s">
        <v>16</v>
      </c>
      <c r="E7" t="s">
        <v>17</v>
      </c>
      <c r="F7">
        <v>1</v>
      </c>
      <c r="G7">
        <v>1188</v>
      </c>
      <c r="H7">
        <v>34204.040910000003</v>
      </c>
      <c r="I7" t="s">
        <v>33</v>
      </c>
      <c r="J7" t="s">
        <v>34</v>
      </c>
      <c r="K7">
        <f>0.65/100*K5</f>
        <v>1.2019583333333335</v>
      </c>
      <c r="L7" t="s">
        <v>24</v>
      </c>
      <c r="M7">
        <v>43.469992939999997</v>
      </c>
      <c r="N7">
        <v>28.385909999999999</v>
      </c>
      <c r="O7" t="s">
        <v>35</v>
      </c>
    </row>
    <row r="8" spans="1:15" x14ac:dyDescent="0.2">
      <c r="A8">
        <v>2</v>
      </c>
      <c r="B8" t="s">
        <v>15</v>
      </c>
      <c r="C8">
        <v>1</v>
      </c>
      <c r="D8" t="s">
        <v>16</v>
      </c>
      <c r="E8" t="s">
        <v>17</v>
      </c>
      <c r="F8">
        <v>1</v>
      </c>
      <c r="G8">
        <v>1188</v>
      </c>
      <c r="H8">
        <v>34204.040910000003</v>
      </c>
      <c r="I8" t="s">
        <v>22</v>
      </c>
      <c r="J8" t="s">
        <v>23</v>
      </c>
      <c r="K8">
        <f>0.1/0.6435*K7</f>
        <v>0.18678451178451183</v>
      </c>
      <c r="L8" t="s">
        <v>24</v>
      </c>
      <c r="M8">
        <v>190</v>
      </c>
      <c r="N8">
        <v>18.809999999999999</v>
      </c>
      <c r="O8" t="s">
        <v>25</v>
      </c>
    </row>
    <row r="9" spans="1:15" x14ac:dyDescent="0.2">
      <c r="A9">
        <v>1</v>
      </c>
      <c r="B9" t="s">
        <v>15</v>
      </c>
      <c r="C9">
        <v>1</v>
      </c>
      <c r="D9" t="s">
        <v>16</v>
      </c>
      <c r="E9" t="s">
        <v>17</v>
      </c>
      <c r="F9">
        <v>1</v>
      </c>
      <c r="G9">
        <v>1188</v>
      </c>
      <c r="H9">
        <v>34204.040910000003</v>
      </c>
      <c r="I9" t="s">
        <v>18</v>
      </c>
      <c r="J9" t="s">
        <v>19</v>
      </c>
      <c r="K9">
        <f>0.09/1188*K2</f>
        <v>0.16810606060606059</v>
      </c>
      <c r="L9" t="s">
        <v>20</v>
      </c>
      <c r="M9">
        <v>83.5</v>
      </c>
      <c r="N9">
        <v>7.5149999999999997</v>
      </c>
      <c r="O9" t="s">
        <v>21</v>
      </c>
    </row>
  </sheetData>
  <autoFilter ref="A1:O1" xr:uid="{00000000-0001-0000-0000-000000000000}">
    <sortState xmlns:xlrd2="http://schemas.microsoft.com/office/spreadsheetml/2017/richdata2" ref="A2:O9">
      <sortCondition descending="1" ref="N1:N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a</cp:lastModifiedBy>
  <dcterms:created xsi:type="dcterms:W3CDTF">2026-04-07T23:05:27Z</dcterms:created>
  <dcterms:modified xsi:type="dcterms:W3CDTF">2026-04-08T15:29:47Z</dcterms:modified>
</cp:coreProperties>
</file>