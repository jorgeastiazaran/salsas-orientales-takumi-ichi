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rgeastiazaran/Library/CloudStorage/GoogleDrive-tecnofoodmx@gmail.com/My Drive/Tecnofood-Mr Wings/PRODUCCIÓN Y DESARROLLO/DESARROLLO/Innovación/Salsas orientales/"/>
    </mc:Choice>
  </mc:AlternateContent>
  <xr:revisionPtr revIDLastSave="0" documentId="13_ncr:1_{C67E5893-A4C7-CC40-9E91-38FC174B3364}" xr6:coauthVersionLast="47" xr6:coauthVersionMax="47" xr10:uidLastSave="{00000000-0000-0000-0000-000000000000}"/>
  <bookViews>
    <workbookView xWindow="3760" yWindow="22280" windowWidth="29400" windowHeight="18440" xr2:uid="{00000000-000D-0000-FFFF-FFFF00000000}"/>
  </bookViews>
  <sheets>
    <sheet name="BOM" sheetId="1" r:id="rId1"/>
  </sheets>
  <definedNames>
    <definedName name="_xlnm._FilterDatabase" localSheetId="0" hidden="1">BOM!$A$1:$O$40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7" i="1"/>
  <c r="K18" i="1"/>
  <c r="K21" i="1" s="1"/>
  <c r="K20" i="1"/>
</calcChain>
</file>

<file path=xl/sharedStrings.xml><?xml version="1.0" encoding="utf-8"?>
<sst xmlns="http://schemas.openxmlformats.org/spreadsheetml/2006/main" count="288" uniqueCount="108">
  <si>
    <t>Sr</t>
  </si>
  <si>
    <t>Name</t>
  </si>
  <si>
    <t>Docstatus</t>
  </si>
  <si>
    <t>Item</t>
  </si>
  <si>
    <t>Item Name</t>
  </si>
  <si>
    <t>Is Active</t>
  </si>
  <si>
    <t>Quantity</t>
  </si>
  <si>
    <t>Total Cost (Company Currency)</t>
  </si>
  <si>
    <t>Item Code</t>
  </si>
  <si>
    <t>BOM: Item Name</t>
  </si>
  <si>
    <t>Stock Qty</t>
  </si>
  <si>
    <t>Stock UOM</t>
  </si>
  <si>
    <t>Basic Rate (Company Currency)</t>
  </si>
  <si>
    <t>Amount (Company Currency)</t>
  </si>
  <si>
    <t>BOM: Name</t>
  </si>
  <si>
    <t>BOM-P-0403-002</t>
  </si>
  <si>
    <t>P-0403</t>
  </si>
  <si>
    <t>(R&amp;D) Salsa de ostión 3.8 L (PROJ-0291)</t>
  </si>
  <si>
    <t>MP-0233</t>
  </si>
  <si>
    <t>Ajo en polvo costal de 25 kg</t>
  </si>
  <si>
    <t>kg</t>
  </si>
  <si>
    <t>0cb7f57b81</t>
  </si>
  <si>
    <t>MP-0244</t>
  </si>
  <si>
    <t>Acido Citrico</t>
  </si>
  <si>
    <t>1ad76b8964</t>
  </si>
  <si>
    <t>MP-0312</t>
  </si>
  <si>
    <t>Saborizante almeja</t>
  </si>
  <si>
    <t>1cac3f85da</t>
  </si>
  <si>
    <t>E-0244</t>
  </si>
  <si>
    <t>Etiq Autoadh (200 x 140 mm) Salsa Mango Habanero 946 ml</t>
  </si>
  <si>
    <t>pz</t>
  </si>
  <si>
    <t>2690d159e6</t>
  </si>
  <si>
    <t>MP-0282</t>
  </si>
  <si>
    <t>Pasta de Tomate Hot Break 32°Bx, Barril 240 kg</t>
  </si>
  <si>
    <t>2ff91a353c</t>
  </si>
  <si>
    <t>MP-0235</t>
  </si>
  <si>
    <t>Cebolla en polvo granel</t>
  </si>
  <si>
    <t>52fbbec5ce</t>
  </si>
  <si>
    <t>MP-0266</t>
  </si>
  <si>
    <t>Acido Acetico glacial 99.5 granel</t>
  </si>
  <si>
    <t>536398095c</t>
  </si>
  <si>
    <t>MP-0260</t>
  </si>
  <si>
    <t>Jengibre en polvo granel</t>
  </si>
  <si>
    <t>587a485524</t>
  </si>
  <si>
    <t>E-0251</t>
  </si>
  <si>
    <t>Caja Corr Mr Wings (12 x 946ml) (32 x 24 x 26.7 cm)</t>
  </si>
  <si>
    <t>61e2b9e0f5</t>
  </si>
  <si>
    <t>MP-0237</t>
  </si>
  <si>
    <t>Color Caramelo en polvo</t>
  </si>
  <si>
    <t>6434064619</t>
  </si>
  <si>
    <t>MP-0307</t>
  </si>
  <si>
    <t>Salsa de soya en polvo S001 (zero aditive)</t>
  </si>
  <si>
    <t>68f1fbb79b</t>
  </si>
  <si>
    <t>E-0253</t>
  </si>
  <si>
    <t>Botella 946 ml Mr Wings (60g HDPE nat)</t>
  </si>
  <si>
    <t>7bc389010f</t>
  </si>
  <si>
    <t>E-0271</t>
  </si>
  <si>
    <t>Etiq Autoadh (para CORRUGADO) Salsa Mango Habanero 12 x 946 ml</t>
  </si>
  <si>
    <t>a868bced7d</t>
  </si>
  <si>
    <t>MP-0286</t>
  </si>
  <si>
    <t>FRUCTOSA 55</t>
  </si>
  <si>
    <t>b4a69c9ee4</t>
  </si>
  <si>
    <t>MP-0259</t>
  </si>
  <si>
    <t>Almidón modificado Colflo 67</t>
  </si>
  <si>
    <t>d16b89bdd3</t>
  </si>
  <si>
    <t>MP-0241</t>
  </si>
  <si>
    <t>Sal refinada</t>
  </si>
  <si>
    <t>d544941544</t>
  </si>
  <si>
    <t>E-0367</t>
  </si>
  <si>
    <t>CINTA TRANSPARENTE APLICACION AUTOMATICA</t>
  </si>
  <si>
    <t>e460398fcf</t>
  </si>
  <si>
    <t>0001</t>
  </si>
  <si>
    <t>Agua</t>
  </si>
  <si>
    <t>f3c3c8e6ae</t>
  </si>
  <si>
    <t>MP-0242</t>
  </si>
  <si>
    <t>Sorbato de potasio granulado granel</t>
  </si>
  <si>
    <t>f59efde956</t>
  </si>
  <si>
    <t>E-0249</t>
  </si>
  <si>
    <t>TAPA TWIST TOP LISA PARA ADEREZO R-38/400 NEGRO STL</t>
  </si>
  <si>
    <t>f707da973f</t>
  </si>
  <si>
    <t>BOM-P-0403-001</t>
  </si>
  <si>
    <t>138971bf65</t>
  </si>
  <si>
    <t>E007</t>
  </si>
  <si>
    <t>Caja Corr Mr Wings ECT42  4x4 gal</t>
  </si>
  <si>
    <t>163c385e11</t>
  </si>
  <si>
    <t>2686054b58</t>
  </si>
  <si>
    <t>2bcbba9c45</t>
  </si>
  <si>
    <t>2e1d5631d2</t>
  </si>
  <si>
    <t>513b7cf1ef</t>
  </si>
  <si>
    <t>53b7fa79ec</t>
  </si>
  <si>
    <t>66925caafb</t>
  </si>
  <si>
    <t>75b1b17159</t>
  </si>
  <si>
    <t>75f00ef757</t>
  </si>
  <si>
    <t>E-0166</t>
  </si>
  <si>
    <t>Tapa R38 c/cintillo negra con liner inductivo</t>
  </si>
  <si>
    <t>91f8679d11</t>
  </si>
  <si>
    <t>E-0009</t>
  </si>
  <si>
    <t>Etiqueta autoadherible papel Mr Wings 3.8L</t>
  </si>
  <si>
    <t>94082b1108</t>
  </si>
  <si>
    <t>960c1f3716</t>
  </si>
  <si>
    <t>E-0167</t>
  </si>
  <si>
    <t>Garrafa 3.8 L asa lateral PEAD candado</t>
  </si>
  <si>
    <t>cde031272c</t>
  </si>
  <si>
    <t>d1946c57ca</t>
  </si>
  <si>
    <t>d29cc47878</t>
  </si>
  <si>
    <t>dbd4e5acfa</t>
  </si>
  <si>
    <t>e5d334395f</t>
  </si>
  <si>
    <t>f289982f0e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</si>
</sst>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0"/>
  <sheetViews>
    <sheetView tabSelected="1" workbookViewId="0">
      <selection activeCell="K16" sqref="K16:L21"/>
    </sheetView>
  </sheetViews>
  <sheetFormatPr baseColWidth="10" defaultColWidth="8.83203125" defaultRowHeight="15" x14ac:dyDescent="0.2"/>
  <cols>
    <col min="2" max="2" width="14.33203125" bestFit="1" customWidth="1"/>
    <col min="10" max="10" width="25.6640625" customWidth="1"/>
  </cols>
  <sheetData>
    <row r="1" spans="1:15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>
        <v>1</v>
      </c>
      <c r="B2" t="s">
        <v>15</v>
      </c>
      <c r="C2">
        <v>0</v>
      </c>
      <c r="D2" t="s">
        <v>16</v>
      </c>
      <c r="E2" t="s">
        <v>17</v>
      </c>
      <c r="F2">
        <v>1</v>
      </c>
      <c r="G2">
        <v>908</v>
      </c>
      <c r="H2">
        <v>28423.123329999999</v>
      </c>
      <c r="I2" t="s">
        <v>18</v>
      </c>
      <c r="J2" t="s">
        <v>19</v>
      </c>
      <c r="K2">
        <v>1.4</v>
      </c>
      <c r="L2" t="s">
        <v>20</v>
      </c>
      <c r="M2">
        <v>70.680000000000007</v>
      </c>
      <c r="N2">
        <v>98.951999999999998</v>
      </c>
      <c r="O2" t="s">
        <v>21</v>
      </c>
    </row>
    <row r="3" spans="1:15" hidden="1" x14ac:dyDescent="0.2">
      <c r="A3">
        <v>2</v>
      </c>
      <c r="B3" t="s">
        <v>15</v>
      </c>
      <c r="C3">
        <v>0</v>
      </c>
      <c r="D3" t="s">
        <v>16</v>
      </c>
      <c r="E3" t="s">
        <v>17</v>
      </c>
      <c r="F3">
        <v>1</v>
      </c>
      <c r="G3">
        <v>908</v>
      </c>
      <c r="H3">
        <v>28423.123329999999</v>
      </c>
      <c r="I3" t="s">
        <v>22</v>
      </c>
      <c r="J3" t="s">
        <v>23</v>
      </c>
      <c r="K3">
        <v>0.5</v>
      </c>
      <c r="L3" t="s">
        <v>20</v>
      </c>
      <c r="M3">
        <v>18.690000000000001</v>
      </c>
      <c r="N3">
        <v>9.3450000000000006</v>
      </c>
      <c r="O3" t="s">
        <v>24</v>
      </c>
    </row>
    <row r="4" spans="1:15" hidden="1" x14ac:dyDescent="0.2">
      <c r="A4">
        <v>3</v>
      </c>
      <c r="B4" t="s">
        <v>15</v>
      </c>
      <c r="C4">
        <v>0</v>
      </c>
      <c r="D4" t="s">
        <v>16</v>
      </c>
      <c r="E4" t="s">
        <v>17</v>
      </c>
      <c r="F4">
        <v>1</v>
      </c>
      <c r="G4">
        <v>908</v>
      </c>
      <c r="H4">
        <v>28423.123329999999</v>
      </c>
      <c r="I4" t="s">
        <v>25</v>
      </c>
      <c r="J4" t="s">
        <v>26</v>
      </c>
      <c r="K4">
        <v>1</v>
      </c>
      <c r="L4" t="s">
        <v>20</v>
      </c>
      <c r="M4">
        <v>108.62</v>
      </c>
      <c r="N4">
        <v>108.62</v>
      </c>
      <c r="O4" t="s">
        <v>27</v>
      </c>
    </row>
    <row r="5" spans="1:15" hidden="1" x14ac:dyDescent="0.2">
      <c r="A5">
        <v>5</v>
      </c>
      <c r="B5" t="s">
        <v>15</v>
      </c>
      <c r="C5">
        <v>0</v>
      </c>
      <c r="D5" t="s">
        <v>16</v>
      </c>
      <c r="E5" t="s">
        <v>17</v>
      </c>
      <c r="F5">
        <v>1</v>
      </c>
      <c r="G5">
        <v>908</v>
      </c>
      <c r="H5">
        <v>28423.123329999999</v>
      </c>
      <c r="I5" t="s">
        <v>32</v>
      </c>
      <c r="J5" t="s">
        <v>33</v>
      </c>
      <c r="K5">
        <v>30</v>
      </c>
      <c r="L5" t="s">
        <v>20</v>
      </c>
      <c r="M5">
        <v>32</v>
      </c>
      <c r="N5">
        <v>960</v>
      </c>
      <c r="O5" t="s">
        <v>34</v>
      </c>
    </row>
    <row r="6" spans="1:15" hidden="1" x14ac:dyDescent="0.2">
      <c r="A6">
        <v>6</v>
      </c>
      <c r="B6" t="s">
        <v>15</v>
      </c>
      <c r="C6">
        <v>0</v>
      </c>
      <c r="D6" t="s">
        <v>16</v>
      </c>
      <c r="E6" t="s">
        <v>17</v>
      </c>
      <c r="F6">
        <v>1</v>
      </c>
      <c r="G6">
        <v>908</v>
      </c>
      <c r="H6">
        <v>28423.123329999999</v>
      </c>
      <c r="I6" t="s">
        <v>35</v>
      </c>
      <c r="J6" t="s">
        <v>36</v>
      </c>
      <c r="K6">
        <v>2.1</v>
      </c>
      <c r="L6" t="s">
        <v>20</v>
      </c>
      <c r="M6">
        <v>77.739999999999995</v>
      </c>
      <c r="N6">
        <v>163.25399999999999</v>
      </c>
      <c r="O6" t="s">
        <v>37</v>
      </c>
    </row>
    <row r="7" spans="1:15" hidden="1" x14ac:dyDescent="0.2">
      <c r="A7">
        <v>7</v>
      </c>
      <c r="B7" t="s">
        <v>15</v>
      </c>
      <c r="C7">
        <v>0</v>
      </c>
      <c r="D7" t="s">
        <v>16</v>
      </c>
      <c r="E7" t="s">
        <v>17</v>
      </c>
      <c r="F7">
        <v>1</v>
      </c>
      <c r="G7">
        <v>908</v>
      </c>
      <c r="H7">
        <v>28423.123329999999</v>
      </c>
      <c r="I7" t="s">
        <v>38</v>
      </c>
      <c r="J7" t="s">
        <v>39</v>
      </c>
      <c r="K7">
        <v>6</v>
      </c>
      <c r="L7" t="s">
        <v>20</v>
      </c>
      <c r="M7">
        <v>26.16</v>
      </c>
      <c r="N7">
        <v>156.96</v>
      </c>
      <c r="O7" t="s">
        <v>40</v>
      </c>
    </row>
    <row r="8" spans="1:15" hidden="1" x14ac:dyDescent="0.2">
      <c r="A8">
        <v>8</v>
      </c>
      <c r="B8" t="s">
        <v>15</v>
      </c>
      <c r="C8">
        <v>0</v>
      </c>
      <c r="D8" t="s">
        <v>16</v>
      </c>
      <c r="E8" t="s">
        <v>17</v>
      </c>
      <c r="F8">
        <v>1</v>
      </c>
      <c r="G8">
        <v>908</v>
      </c>
      <c r="H8">
        <v>28423.123329999999</v>
      </c>
      <c r="I8" t="s">
        <v>41</v>
      </c>
      <c r="J8" t="s">
        <v>42</v>
      </c>
      <c r="K8">
        <v>7</v>
      </c>
      <c r="L8" t="s">
        <v>20</v>
      </c>
      <c r="M8">
        <v>198</v>
      </c>
      <c r="N8">
        <v>1386</v>
      </c>
      <c r="O8" t="s">
        <v>43</v>
      </c>
    </row>
    <row r="9" spans="1:15" hidden="1" x14ac:dyDescent="0.2">
      <c r="A9">
        <v>10</v>
      </c>
      <c r="B9" t="s">
        <v>15</v>
      </c>
      <c r="C9">
        <v>0</v>
      </c>
      <c r="D9" t="s">
        <v>16</v>
      </c>
      <c r="E9" t="s">
        <v>17</v>
      </c>
      <c r="F9">
        <v>1</v>
      </c>
      <c r="G9">
        <v>908</v>
      </c>
      <c r="H9">
        <v>28423.123329999999</v>
      </c>
      <c r="I9" t="s">
        <v>47</v>
      </c>
      <c r="J9" t="s">
        <v>48</v>
      </c>
      <c r="K9">
        <v>3</v>
      </c>
      <c r="L9" t="s">
        <v>20</v>
      </c>
      <c r="M9">
        <v>126</v>
      </c>
      <c r="N9">
        <v>378</v>
      </c>
      <c r="O9" t="s">
        <v>49</v>
      </c>
    </row>
    <row r="10" spans="1:15" hidden="1" x14ac:dyDescent="0.2">
      <c r="A10">
        <v>11</v>
      </c>
      <c r="B10" t="s">
        <v>15</v>
      </c>
      <c r="C10">
        <v>0</v>
      </c>
      <c r="D10" t="s">
        <v>16</v>
      </c>
      <c r="E10" t="s">
        <v>17</v>
      </c>
      <c r="F10">
        <v>1</v>
      </c>
      <c r="G10">
        <v>908</v>
      </c>
      <c r="H10">
        <v>28423.123329999999</v>
      </c>
      <c r="I10" t="s">
        <v>50</v>
      </c>
      <c r="J10" t="s">
        <v>51</v>
      </c>
      <c r="K10">
        <v>56</v>
      </c>
      <c r="L10" t="s">
        <v>20</v>
      </c>
      <c r="M10">
        <v>58.6</v>
      </c>
      <c r="N10">
        <v>3281.6</v>
      </c>
      <c r="O10" t="s">
        <v>52</v>
      </c>
    </row>
    <row r="11" spans="1:15" hidden="1" x14ac:dyDescent="0.2">
      <c r="A11">
        <v>14</v>
      </c>
      <c r="B11" t="s">
        <v>15</v>
      </c>
      <c r="C11">
        <v>0</v>
      </c>
      <c r="D11" t="s">
        <v>16</v>
      </c>
      <c r="E11" t="s">
        <v>17</v>
      </c>
      <c r="F11">
        <v>1</v>
      </c>
      <c r="G11">
        <v>908</v>
      </c>
      <c r="H11">
        <v>28423.123329999999</v>
      </c>
      <c r="I11" t="s">
        <v>59</v>
      </c>
      <c r="J11" t="s">
        <v>60</v>
      </c>
      <c r="K11">
        <v>450</v>
      </c>
      <c r="L11" t="s">
        <v>20</v>
      </c>
      <c r="M11">
        <v>17.46</v>
      </c>
      <c r="N11">
        <v>7857</v>
      </c>
      <c r="O11" t="s">
        <v>61</v>
      </c>
    </row>
    <row r="12" spans="1:15" hidden="1" x14ac:dyDescent="0.2">
      <c r="A12">
        <v>15</v>
      </c>
      <c r="B12" t="s">
        <v>15</v>
      </c>
      <c r="C12">
        <v>0</v>
      </c>
      <c r="D12" t="s">
        <v>16</v>
      </c>
      <c r="E12" t="s">
        <v>17</v>
      </c>
      <c r="F12">
        <v>1</v>
      </c>
      <c r="G12">
        <v>908</v>
      </c>
      <c r="H12">
        <v>28423.123329999999</v>
      </c>
      <c r="I12" t="s">
        <v>62</v>
      </c>
      <c r="J12" t="s">
        <v>63</v>
      </c>
      <c r="K12">
        <v>40</v>
      </c>
      <c r="L12" t="s">
        <v>20</v>
      </c>
      <c r="M12">
        <v>54.13</v>
      </c>
      <c r="N12">
        <v>2165.1999999999998</v>
      </c>
      <c r="O12" t="s">
        <v>64</v>
      </c>
    </row>
    <row r="13" spans="1:15" hidden="1" x14ac:dyDescent="0.2">
      <c r="A13">
        <v>16</v>
      </c>
      <c r="B13" t="s">
        <v>15</v>
      </c>
      <c r="C13">
        <v>0</v>
      </c>
      <c r="D13" t="s">
        <v>16</v>
      </c>
      <c r="E13" t="s">
        <v>17</v>
      </c>
      <c r="F13">
        <v>1</v>
      </c>
      <c r="G13">
        <v>908</v>
      </c>
      <c r="H13">
        <v>28423.123329999999</v>
      </c>
      <c r="I13" t="s">
        <v>65</v>
      </c>
      <c r="J13" t="s">
        <v>66</v>
      </c>
      <c r="K13">
        <v>34</v>
      </c>
      <c r="L13" t="s">
        <v>20</v>
      </c>
      <c r="M13">
        <v>8.16</v>
      </c>
      <c r="N13">
        <v>277.44</v>
      </c>
      <c r="O13" t="s">
        <v>67</v>
      </c>
    </row>
    <row r="14" spans="1:15" hidden="1" x14ac:dyDescent="0.2">
      <c r="A14">
        <v>18</v>
      </c>
      <c r="B14" t="s">
        <v>15</v>
      </c>
      <c r="C14">
        <v>0</v>
      </c>
      <c r="D14" t="s">
        <v>16</v>
      </c>
      <c r="E14" t="s">
        <v>17</v>
      </c>
      <c r="F14">
        <v>1</v>
      </c>
      <c r="G14">
        <v>908</v>
      </c>
      <c r="H14">
        <v>28423.123329999999</v>
      </c>
      <c r="I14" t="s">
        <v>71</v>
      </c>
      <c r="J14" t="s">
        <v>72</v>
      </c>
      <c r="K14">
        <v>367.9</v>
      </c>
      <c r="L14" t="s">
        <v>20</v>
      </c>
      <c r="M14">
        <v>0.12</v>
      </c>
      <c r="N14">
        <v>44.148000000000003</v>
      </c>
      <c r="O14" t="s">
        <v>73</v>
      </c>
    </row>
    <row r="15" spans="1:15" hidden="1" x14ac:dyDescent="0.2">
      <c r="A15">
        <v>19</v>
      </c>
      <c r="B15" t="s">
        <v>15</v>
      </c>
      <c r="C15">
        <v>0</v>
      </c>
      <c r="D15" t="s">
        <v>16</v>
      </c>
      <c r="E15" t="s">
        <v>17</v>
      </c>
      <c r="F15">
        <v>1</v>
      </c>
      <c r="G15">
        <v>908</v>
      </c>
      <c r="H15">
        <v>28423.123329999999</v>
      </c>
      <c r="I15" t="s">
        <v>74</v>
      </c>
      <c r="J15" t="s">
        <v>75</v>
      </c>
      <c r="K15">
        <v>1.1000000000000001</v>
      </c>
      <c r="L15" t="s">
        <v>20</v>
      </c>
      <c r="M15">
        <v>56.77</v>
      </c>
      <c r="N15">
        <v>62.447000000000003</v>
      </c>
      <c r="O15" t="s">
        <v>76</v>
      </c>
    </row>
    <row r="16" spans="1:15" x14ac:dyDescent="0.2">
      <c r="A16">
        <v>4</v>
      </c>
      <c r="B16" t="s">
        <v>15</v>
      </c>
      <c r="C16">
        <v>0</v>
      </c>
      <c r="D16" t="s">
        <v>16</v>
      </c>
      <c r="E16" t="s">
        <v>17</v>
      </c>
      <c r="F16">
        <v>1</v>
      </c>
      <c r="G16">
        <v>908</v>
      </c>
      <c r="H16">
        <v>28423.123329999999</v>
      </c>
      <c r="I16" t="s">
        <v>28</v>
      </c>
      <c r="J16" t="s">
        <v>29</v>
      </c>
      <c r="K16">
        <v>971</v>
      </c>
      <c r="L16" t="s">
        <v>30</v>
      </c>
      <c r="M16">
        <v>2.8237800000000002</v>
      </c>
      <c r="N16">
        <v>2560.56</v>
      </c>
      <c r="O16" t="s">
        <v>31</v>
      </c>
    </row>
    <row r="17" spans="1:15" x14ac:dyDescent="0.2">
      <c r="A17">
        <v>9</v>
      </c>
      <c r="B17" t="s">
        <v>15</v>
      </c>
      <c r="C17">
        <v>0</v>
      </c>
      <c r="D17" t="s">
        <v>16</v>
      </c>
      <c r="E17" t="s">
        <v>17</v>
      </c>
      <c r="F17">
        <v>1</v>
      </c>
      <c r="G17">
        <v>908</v>
      </c>
      <c r="H17">
        <v>28423.123329999999</v>
      </c>
      <c r="I17" t="s">
        <v>44</v>
      </c>
      <c r="J17" t="s">
        <v>45</v>
      </c>
      <c r="K17">
        <f>K16/12</f>
        <v>80.916666666666671</v>
      </c>
      <c r="L17" t="s">
        <v>30</v>
      </c>
      <c r="M17">
        <v>21.99</v>
      </c>
      <c r="N17">
        <v>1663.91733</v>
      </c>
      <c r="O17" t="s">
        <v>46</v>
      </c>
    </row>
    <row r="18" spans="1:15" x14ac:dyDescent="0.2">
      <c r="A18">
        <v>12</v>
      </c>
      <c r="B18" t="s">
        <v>15</v>
      </c>
      <c r="C18">
        <v>0</v>
      </c>
      <c r="D18" t="s">
        <v>16</v>
      </c>
      <c r="E18" t="s">
        <v>17</v>
      </c>
      <c r="F18">
        <v>1</v>
      </c>
      <c r="G18">
        <v>908</v>
      </c>
      <c r="H18">
        <v>28423.123329999999</v>
      </c>
      <c r="I18" t="s">
        <v>53</v>
      </c>
      <c r="J18" t="s">
        <v>54</v>
      </c>
      <c r="K18">
        <f>K16</f>
        <v>971</v>
      </c>
      <c r="L18" t="s">
        <v>30</v>
      </c>
      <c r="M18">
        <v>5.56</v>
      </c>
      <c r="N18">
        <v>5048.4799999999996</v>
      </c>
      <c r="O18" t="s">
        <v>55</v>
      </c>
    </row>
    <row r="19" spans="1:15" x14ac:dyDescent="0.2">
      <c r="A19">
        <v>13</v>
      </c>
      <c r="B19" t="s">
        <v>15</v>
      </c>
      <c r="C19">
        <v>0</v>
      </c>
      <c r="D19" t="s">
        <v>16</v>
      </c>
      <c r="E19" t="s">
        <v>17</v>
      </c>
      <c r="F19">
        <v>1</v>
      </c>
      <c r="G19">
        <v>908</v>
      </c>
      <c r="H19">
        <v>28423.123329999999</v>
      </c>
      <c r="I19" t="s">
        <v>56</v>
      </c>
      <c r="J19" t="s">
        <v>57</v>
      </c>
      <c r="K19">
        <f>K16/12*2</f>
        <v>161.83333333333334</v>
      </c>
      <c r="L19" t="s">
        <v>30</v>
      </c>
      <c r="M19">
        <v>1.2753300000000001</v>
      </c>
      <c r="N19">
        <v>290.56</v>
      </c>
      <c r="O19" t="s">
        <v>58</v>
      </c>
    </row>
    <row r="20" spans="1:15" x14ac:dyDescent="0.2">
      <c r="A20">
        <v>17</v>
      </c>
      <c r="B20" t="s">
        <v>15</v>
      </c>
      <c r="C20">
        <v>0</v>
      </c>
      <c r="D20" t="s">
        <v>16</v>
      </c>
      <c r="E20" t="s">
        <v>17</v>
      </c>
      <c r="F20">
        <v>1</v>
      </c>
      <c r="G20">
        <v>908</v>
      </c>
      <c r="H20">
        <v>28423.123329999999</v>
      </c>
      <c r="I20" t="s">
        <v>68</v>
      </c>
      <c r="J20" t="s">
        <v>69</v>
      </c>
      <c r="K20">
        <f>0.68/100*K17</f>
        <v>0.55023333333333335</v>
      </c>
      <c r="L20" t="s">
        <v>30</v>
      </c>
      <c r="M20">
        <v>190</v>
      </c>
      <c r="N20">
        <v>12.92</v>
      </c>
      <c r="O20" t="s">
        <v>70</v>
      </c>
    </row>
    <row r="21" spans="1:15" x14ac:dyDescent="0.2">
      <c r="A21">
        <v>20</v>
      </c>
      <c r="B21" t="s">
        <v>15</v>
      </c>
      <c r="C21">
        <v>0</v>
      </c>
      <c r="D21" t="s">
        <v>16</v>
      </c>
      <c r="E21" t="s">
        <v>17</v>
      </c>
      <c r="F21">
        <v>1</v>
      </c>
      <c r="G21">
        <v>908</v>
      </c>
      <c r="H21">
        <v>28423.123329999999</v>
      </c>
      <c r="I21" t="s">
        <v>77</v>
      </c>
      <c r="J21" t="s">
        <v>78</v>
      </c>
      <c r="K21">
        <f>K18</f>
        <v>971</v>
      </c>
      <c r="L21" t="s">
        <v>30</v>
      </c>
      <c r="M21">
        <v>2.0860951999999999</v>
      </c>
      <c r="N21">
        <v>1897.72</v>
      </c>
      <c r="O21" t="s">
        <v>79</v>
      </c>
    </row>
    <row r="22" spans="1:15" hidden="1" x14ac:dyDescent="0.2">
      <c r="A22">
        <v>21</v>
      </c>
      <c r="B22" t="s">
        <v>80</v>
      </c>
      <c r="C22">
        <v>0</v>
      </c>
      <c r="D22" t="s">
        <v>16</v>
      </c>
      <c r="E22" t="s">
        <v>17</v>
      </c>
      <c r="F22">
        <v>0</v>
      </c>
      <c r="G22">
        <v>227</v>
      </c>
      <c r="H22">
        <v>21730.705999999998</v>
      </c>
      <c r="I22" t="s">
        <v>68</v>
      </c>
      <c r="J22" t="s">
        <v>69</v>
      </c>
      <c r="K22">
        <v>6.8000000000000005E-2</v>
      </c>
      <c r="L22" t="s">
        <v>30</v>
      </c>
      <c r="M22">
        <v>190</v>
      </c>
      <c r="N22">
        <v>12.92</v>
      </c>
      <c r="O22" t="s">
        <v>81</v>
      </c>
    </row>
    <row r="23" spans="1:15" hidden="1" x14ac:dyDescent="0.2">
      <c r="A23">
        <v>22</v>
      </c>
      <c r="B23" t="s">
        <v>80</v>
      </c>
      <c r="C23">
        <v>0</v>
      </c>
      <c r="D23" t="s">
        <v>16</v>
      </c>
      <c r="E23" t="s">
        <v>17</v>
      </c>
      <c r="F23">
        <v>0</v>
      </c>
      <c r="G23">
        <v>227</v>
      </c>
      <c r="H23">
        <v>21730.705999999998</v>
      </c>
      <c r="I23" t="s">
        <v>82</v>
      </c>
      <c r="J23" t="s">
        <v>83</v>
      </c>
      <c r="K23">
        <v>57</v>
      </c>
      <c r="L23" t="s">
        <v>30</v>
      </c>
      <c r="M23">
        <v>20.9</v>
      </c>
      <c r="N23">
        <v>1191.3</v>
      </c>
      <c r="O23" t="s">
        <v>84</v>
      </c>
    </row>
    <row r="24" spans="1:15" hidden="1" x14ac:dyDescent="0.2">
      <c r="A24">
        <v>23</v>
      </c>
      <c r="B24" t="s">
        <v>80</v>
      </c>
      <c r="C24">
        <v>0</v>
      </c>
      <c r="D24" t="s">
        <v>16</v>
      </c>
      <c r="E24" t="s">
        <v>17</v>
      </c>
      <c r="F24">
        <v>0</v>
      </c>
      <c r="G24">
        <v>227</v>
      </c>
      <c r="H24">
        <v>21730.705999999998</v>
      </c>
      <c r="I24" t="s">
        <v>35</v>
      </c>
      <c r="J24" t="s">
        <v>36</v>
      </c>
      <c r="K24">
        <v>2.1</v>
      </c>
      <c r="L24" t="s">
        <v>20</v>
      </c>
      <c r="M24">
        <v>77.739999999999995</v>
      </c>
      <c r="N24">
        <v>163.25399999999999</v>
      </c>
      <c r="O24" t="s">
        <v>85</v>
      </c>
    </row>
    <row r="25" spans="1:15" hidden="1" x14ac:dyDescent="0.2">
      <c r="A25">
        <v>24</v>
      </c>
      <c r="B25" t="s">
        <v>80</v>
      </c>
      <c r="C25">
        <v>0</v>
      </c>
      <c r="D25" t="s">
        <v>16</v>
      </c>
      <c r="E25" t="s">
        <v>17</v>
      </c>
      <c r="F25">
        <v>0</v>
      </c>
      <c r="G25">
        <v>227</v>
      </c>
      <c r="H25">
        <v>21730.705999999998</v>
      </c>
      <c r="I25" t="s">
        <v>62</v>
      </c>
      <c r="J25" t="s">
        <v>63</v>
      </c>
      <c r="K25">
        <v>40</v>
      </c>
      <c r="L25" t="s">
        <v>20</v>
      </c>
      <c r="M25">
        <v>54.13</v>
      </c>
      <c r="N25">
        <v>2165.1999999999998</v>
      </c>
      <c r="O25" t="s">
        <v>86</v>
      </c>
    </row>
    <row r="26" spans="1:15" hidden="1" x14ac:dyDescent="0.2">
      <c r="A26">
        <v>25</v>
      </c>
      <c r="B26" t="s">
        <v>80</v>
      </c>
      <c r="C26">
        <v>0</v>
      </c>
      <c r="D26" t="s">
        <v>16</v>
      </c>
      <c r="E26" t="s">
        <v>17</v>
      </c>
      <c r="F26">
        <v>0</v>
      </c>
      <c r="G26">
        <v>227</v>
      </c>
      <c r="H26">
        <v>21730.705999999998</v>
      </c>
      <c r="I26" t="s">
        <v>50</v>
      </c>
      <c r="J26" t="s">
        <v>51</v>
      </c>
      <c r="K26">
        <v>56</v>
      </c>
      <c r="L26" t="s">
        <v>20</v>
      </c>
      <c r="M26">
        <v>58.6</v>
      </c>
      <c r="N26">
        <v>3281.6</v>
      </c>
      <c r="O26" t="s">
        <v>87</v>
      </c>
    </row>
    <row r="27" spans="1:15" hidden="1" x14ac:dyDescent="0.2">
      <c r="A27">
        <v>26</v>
      </c>
      <c r="B27" t="s">
        <v>80</v>
      </c>
      <c r="C27">
        <v>0</v>
      </c>
      <c r="D27" t="s">
        <v>16</v>
      </c>
      <c r="E27" t="s">
        <v>17</v>
      </c>
      <c r="F27">
        <v>0</v>
      </c>
      <c r="G27">
        <v>227</v>
      </c>
      <c r="H27">
        <v>21730.705999999998</v>
      </c>
      <c r="I27" t="s">
        <v>41</v>
      </c>
      <c r="J27" t="s">
        <v>42</v>
      </c>
      <c r="K27">
        <v>7</v>
      </c>
      <c r="L27" t="s">
        <v>20</v>
      </c>
      <c r="M27">
        <v>198</v>
      </c>
      <c r="N27">
        <v>1386</v>
      </c>
      <c r="O27" t="s">
        <v>88</v>
      </c>
    </row>
    <row r="28" spans="1:15" hidden="1" x14ac:dyDescent="0.2">
      <c r="A28">
        <v>27</v>
      </c>
      <c r="B28" t="s">
        <v>80</v>
      </c>
      <c r="C28">
        <v>0</v>
      </c>
      <c r="D28" t="s">
        <v>16</v>
      </c>
      <c r="E28" t="s">
        <v>17</v>
      </c>
      <c r="F28">
        <v>0</v>
      </c>
      <c r="G28">
        <v>227</v>
      </c>
      <c r="H28">
        <v>21730.705999999998</v>
      </c>
      <c r="I28" t="s">
        <v>71</v>
      </c>
      <c r="J28" t="s">
        <v>72</v>
      </c>
      <c r="K28">
        <v>367.9</v>
      </c>
      <c r="L28" t="s">
        <v>20</v>
      </c>
      <c r="M28">
        <v>0.12</v>
      </c>
      <c r="N28">
        <v>44.148000000000003</v>
      </c>
      <c r="O28" t="s">
        <v>89</v>
      </c>
    </row>
    <row r="29" spans="1:15" hidden="1" x14ac:dyDescent="0.2">
      <c r="A29">
        <v>28</v>
      </c>
      <c r="B29" t="s">
        <v>80</v>
      </c>
      <c r="C29">
        <v>0</v>
      </c>
      <c r="D29" t="s">
        <v>16</v>
      </c>
      <c r="E29" t="s">
        <v>17</v>
      </c>
      <c r="F29">
        <v>0</v>
      </c>
      <c r="G29">
        <v>227</v>
      </c>
      <c r="H29">
        <v>21730.705999999998</v>
      </c>
      <c r="I29" t="s">
        <v>59</v>
      </c>
      <c r="J29" t="s">
        <v>60</v>
      </c>
      <c r="K29">
        <v>450</v>
      </c>
      <c r="L29" t="s">
        <v>20</v>
      </c>
      <c r="M29">
        <v>17.46</v>
      </c>
      <c r="N29">
        <v>7857</v>
      </c>
      <c r="O29" t="s">
        <v>90</v>
      </c>
    </row>
    <row r="30" spans="1:15" hidden="1" x14ac:dyDescent="0.2">
      <c r="A30">
        <v>29</v>
      </c>
      <c r="B30" t="s">
        <v>80</v>
      </c>
      <c r="C30">
        <v>0</v>
      </c>
      <c r="D30" t="s">
        <v>16</v>
      </c>
      <c r="E30" t="s">
        <v>17</v>
      </c>
      <c r="F30">
        <v>0</v>
      </c>
      <c r="G30">
        <v>227</v>
      </c>
      <c r="H30">
        <v>21730.705999999998</v>
      </c>
      <c r="I30" t="s">
        <v>22</v>
      </c>
      <c r="J30" t="s">
        <v>23</v>
      </c>
      <c r="K30">
        <v>0.5</v>
      </c>
      <c r="L30" t="s">
        <v>20</v>
      </c>
      <c r="M30">
        <v>18.690000000000001</v>
      </c>
      <c r="N30">
        <v>9.3450000000000006</v>
      </c>
      <c r="O30" t="s">
        <v>91</v>
      </c>
    </row>
    <row r="31" spans="1:15" hidden="1" x14ac:dyDescent="0.2">
      <c r="A31">
        <v>30</v>
      </c>
      <c r="B31" t="s">
        <v>80</v>
      </c>
      <c r="C31">
        <v>0</v>
      </c>
      <c r="D31" t="s">
        <v>16</v>
      </c>
      <c r="E31" t="s">
        <v>17</v>
      </c>
      <c r="F31">
        <v>0</v>
      </c>
      <c r="G31">
        <v>227</v>
      </c>
      <c r="H31">
        <v>21730.705999999998</v>
      </c>
      <c r="I31" t="s">
        <v>65</v>
      </c>
      <c r="J31" t="s">
        <v>66</v>
      </c>
      <c r="K31">
        <v>34</v>
      </c>
      <c r="L31" t="s">
        <v>20</v>
      </c>
      <c r="M31">
        <v>8.16</v>
      </c>
      <c r="N31">
        <v>277.44</v>
      </c>
      <c r="O31" t="s">
        <v>92</v>
      </c>
    </row>
    <row r="32" spans="1:15" hidden="1" x14ac:dyDescent="0.2">
      <c r="A32">
        <v>31</v>
      </c>
      <c r="B32" t="s">
        <v>80</v>
      </c>
      <c r="C32">
        <v>0</v>
      </c>
      <c r="D32" t="s">
        <v>16</v>
      </c>
      <c r="E32" t="s">
        <v>17</v>
      </c>
      <c r="F32">
        <v>0</v>
      </c>
      <c r="G32">
        <v>227</v>
      </c>
      <c r="H32">
        <v>21730.705999999998</v>
      </c>
      <c r="I32" t="s">
        <v>93</v>
      </c>
      <c r="J32" t="s">
        <v>94</v>
      </c>
      <c r="K32">
        <v>227</v>
      </c>
      <c r="L32" t="s">
        <v>30</v>
      </c>
      <c r="M32">
        <v>0.57211000000000001</v>
      </c>
      <c r="N32">
        <v>129.38999999999999</v>
      </c>
      <c r="O32" t="s">
        <v>95</v>
      </c>
    </row>
    <row r="33" spans="1:15" hidden="1" x14ac:dyDescent="0.2">
      <c r="A33">
        <v>32</v>
      </c>
      <c r="B33" t="s">
        <v>80</v>
      </c>
      <c r="C33">
        <v>0</v>
      </c>
      <c r="D33" t="s">
        <v>16</v>
      </c>
      <c r="E33" t="s">
        <v>17</v>
      </c>
      <c r="F33">
        <v>0</v>
      </c>
      <c r="G33">
        <v>227</v>
      </c>
      <c r="H33">
        <v>21730.705999999998</v>
      </c>
      <c r="I33" t="s">
        <v>96</v>
      </c>
      <c r="J33" t="s">
        <v>97</v>
      </c>
      <c r="K33">
        <v>227</v>
      </c>
      <c r="L33" t="s">
        <v>30</v>
      </c>
      <c r="M33">
        <v>2.6142300000000001</v>
      </c>
      <c r="N33">
        <v>592.47</v>
      </c>
      <c r="O33" t="s">
        <v>98</v>
      </c>
    </row>
    <row r="34" spans="1:15" hidden="1" x14ac:dyDescent="0.2">
      <c r="A34">
        <v>33</v>
      </c>
      <c r="B34" t="s">
        <v>80</v>
      </c>
      <c r="C34">
        <v>0</v>
      </c>
      <c r="D34" t="s">
        <v>16</v>
      </c>
      <c r="E34" t="s">
        <v>17</v>
      </c>
      <c r="F34">
        <v>0</v>
      </c>
      <c r="G34">
        <v>227</v>
      </c>
      <c r="H34">
        <v>21730.705999999998</v>
      </c>
      <c r="I34" t="s">
        <v>25</v>
      </c>
      <c r="J34" t="s">
        <v>26</v>
      </c>
      <c r="K34">
        <v>1</v>
      </c>
      <c r="L34" t="s">
        <v>20</v>
      </c>
      <c r="M34">
        <v>108.62</v>
      </c>
      <c r="N34">
        <v>108.62</v>
      </c>
      <c r="O34" t="s">
        <v>99</v>
      </c>
    </row>
    <row r="35" spans="1:15" hidden="1" x14ac:dyDescent="0.2">
      <c r="A35">
        <v>34</v>
      </c>
      <c r="B35" t="s">
        <v>80</v>
      </c>
      <c r="C35">
        <v>0</v>
      </c>
      <c r="D35" t="s">
        <v>16</v>
      </c>
      <c r="E35" t="s">
        <v>17</v>
      </c>
      <c r="F35">
        <v>0</v>
      </c>
      <c r="G35">
        <v>227</v>
      </c>
      <c r="H35">
        <v>21730.705999999998</v>
      </c>
      <c r="I35" t="s">
        <v>100</v>
      </c>
      <c r="J35" t="s">
        <v>101</v>
      </c>
      <c r="K35">
        <v>227</v>
      </c>
      <c r="L35" t="s">
        <v>30</v>
      </c>
      <c r="M35">
        <v>12.58</v>
      </c>
      <c r="N35">
        <v>2855.66</v>
      </c>
      <c r="O35" t="s">
        <v>102</v>
      </c>
    </row>
    <row r="36" spans="1:15" hidden="1" x14ac:dyDescent="0.2">
      <c r="A36">
        <v>35</v>
      </c>
      <c r="B36" t="s">
        <v>80</v>
      </c>
      <c r="C36">
        <v>0</v>
      </c>
      <c r="D36" t="s">
        <v>16</v>
      </c>
      <c r="E36" t="s">
        <v>17</v>
      </c>
      <c r="F36">
        <v>0</v>
      </c>
      <c r="G36">
        <v>227</v>
      </c>
      <c r="H36">
        <v>21730.705999999998</v>
      </c>
      <c r="I36" t="s">
        <v>18</v>
      </c>
      <c r="J36" t="s">
        <v>19</v>
      </c>
      <c r="K36">
        <v>1.4</v>
      </c>
      <c r="L36" t="s">
        <v>20</v>
      </c>
      <c r="M36">
        <v>70.680000000000007</v>
      </c>
      <c r="N36">
        <v>98.951999999999998</v>
      </c>
      <c r="O36" t="s">
        <v>103</v>
      </c>
    </row>
    <row r="37" spans="1:15" hidden="1" x14ac:dyDescent="0.2">
      <c r="A37">
        <v>36</v>
      </c>
      <c r="B37" t="s">
        <v>80</v>
      </c>
      <c r="C37">
        <v>0</v>
      </c>
      <c r="D37" t="s">
        <v>16</v>
      </c>
      <c r="E37" t="s">
        <v>17</v>
      </c>
      <c r="F37">
        <v>0</v>
      </c>
      <c r="G37">
        <v>227</v>
      </c>
      <c r="H37">
        <v>21730.705999999998</v>
      </c>
      <c r="I37" t="s">
        <v>47</v>
      </c>
      <c r="J37" t="s">
        <v>48</v>
      </c>
      <c r="K37">
        <v>3</v>
      </c>
      <c r="L37" t="s">
        <v>20</v>
      </c>
      <c r="M37">
        <v>126</v>
      </c>
      <c r="N37">
        <v>378</v>
      </c>
      <c r="O37" t="s">
        <v>104</v>
      </c>
    </row>
    <row r="38" spans="1:15" hidden="1" x14ac:dyDescent="0.2">
      <c r="A38">
        <v>37</v>
      </c>
      <c r="B38" t="s">
        <v>80</v>
      </c>
      <c r="C38">
        <v>0</v>
      </c>
      <c r="D38" t="s">
        <v>16</v>
      </c>
      <c r="E38" t="s">
        <v>17</v>
      </c>
      <c r="F38">
        <v>0</v>
      </c>
      <c r="G38">
        <v>227</v>
      </c>
      <c r="H38">
        <v>21730.705999999998</v>
      </c>
      <c r="I38" t="s">
        <v>74</v>
      </c>
      <c r="J38" t="s">
        <v>75</v>
      </c>
      <c r="K38">
        <v>1.1000000000000001</v>
      </c>
      <c r="L38" t="s">
        <v>20</v>
      </c>
      <c r="M38">
        <v>56.77</v>
      </c>
      <c r="N38">
        <v>62.447000000000003</v>
      </c>
      <c r="O38" t="s">
        <v>105</v>
      </c>
    </row>
    <row r="39" spans="1:15" hidden="1" x14ac:dyDescent="0.2">
      <c r="A39">
        <v>38</v>
      </c>
      <c r="B39" t="s">
        <v>80</v>
      </c>
      <c r="C39">
        <v>0</v>
      </c>
      <c r="D39" t="s">
        <v>16</v>
      </c>
      <c r="E39" t="s">
        <v>17</v>
      </c>
      <c r="F39">
        <v>0</v>
      </c>
      <c r="G39">
        <v>227</v>
      </c>
      <c r="H39">
        <v>21730.705999999998</v>
      </c>
      <c r="I39" t="s">
        <v>38</v>
      </c>
      <c r="J39" t="s">
        <v>39</v>
      </c>
      <c r="K39">
        <v>6</v>
      </c>
      <c r="L39" t="s">
        <v>20</v>
      </c>
      <c r="M39">
        <v>26.16</v>
      </c>
      <c r="N39">
        <v>156.96</v>
      </c>
      <c r="O39" t="s">
        <v>106</v>
      </c>
    </row>
    <row r="40" spans="1:15" hidden="1" x14ac:dyDescent="0.2">
      <c r="A40">
        <v>39</v>
      </c>
      <c r="B40" t="s">
        <v>80</v>
      </c>
      <c r="C40">
        <v>0</v>
      </c>
      <c r="D40" t="s">
        <v>16</v>
      </c>
      <c r="E40" t="s">
        <v>17</v>
      </c>
      <c r="F40">
        <v>0</v>
      </c>
      <c r="G40">
        <v>227</v>
      </c>
      <c r="H40">
        <v>21730.705999999998</v>
      </c>
      <c r="I40" t="s">
        <v>32</v>
      </c>
      <c r="J40" t="s">
        <v>33</v>
      </c>
      <c r="K40">
        <v>30</v>
      </c>
      <c r="L40" t="s">
        <v>20</v>
      </c>
      <c r="M40">
        <v>32</v>
      </c>
      <c r="N40">
        <v>960</v>
      </c>
      <c r="O40" t="s">
        <v>107</v>
      </c>
    </row>
  </sheetData>
  <autoFilter ref="A1:O40" xr:uid="{00000000-0001-0000-0000-000000000000}">
    <filterColumn colId="1">
      <filters>
        <filter val="BOM-P-0403-002"/>
      </filters>
    </filterColumn>
    <filterColumn colId="11">
      <filters>
        <filter val="pz"/>
      </filters>
    </filterColumn>
    <sortState xmlns:xlrd2="http://schemas.microsoft.com/office/spreadsheetml/2017/richdata2" ref="A2:O21">
      <sortCondition ref="L1:L4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a</cp:lastModifiedBy>
  <dcterms:created xsi:type="dcterms:W3CDTF">2026-04-07T22:51:28Z</dcterms:created>
  <dcterms:modified xsi:type="dcterms:W3CDTF">2026-04-08T15:29:47Z</dcterms:modified>
</cp:coreProperties>
</file>