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es K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44" customWidth="1" min="4" max="4"/>
    <col width="31" customWidth="1" min="5" max="5"/>
    <col width="19" customWidth="1" min="6" max="6"/>
    <col width="12" customWidth="1" min="7" max="7"/>
    <col width="16" customWidth="1" min="8" max="8"/>
    <col width="23" customWidth="1" min="9" max="9"/>
    <col width="15" customWidth="1" min="10" max="10"/>
    <col width="14" customWidth="1" min="11" max="11"/>
    <col width="22" customWidth="1" min="12" max="12"/>
    <col width="19" customWidth="1" min="13" max="13"/>
    <col width="18" customWidth="1" min="14" max="14"/>
    <col width="22" customWidth="1" min="15" max="15"/>
    <col width="22" customWidth="1" min="16" max="16"/>
    <col width="24" customWidth="1" min="17" max="17"/>
    <col width="66" customWidth="1" min="18" max="18"/>
  </cols>
  <sheetData>
    <row r="1">
      <c r="A1" s="1" t="inlineStr">
        <is>
          <t>ID</t>
        </is>
      </c>
      <c r="B1" s="1" t="inlineStr">
        <is>
          <t>Fecha_Registro</t>
        </is>
      </c>
      <c r="C1" s="1" t="inlineStr">
        <is>
          <t>KAM</t>
        </is>
      </c>
      <c r="D1" s="1" t="inlineStr">
        <is>
          <t>Cliente_Cuenta</t>
        </is>
      </c>
      <c r="E1" s="1" t="inlineStr">
        <is>
          <t>Canal_Venta</t>
        </is>
      </c>
      <c r="F1" s="1" t="inlineStr">
        <is>
          <t>Producto</t>
        </is>
      </c>
      <c r="G1" s="1" t="inlineStr">
        <is>
          <t>Formato</t>
        </is>
      </c>
      <c r="H1" s="1" t="inlineStr">
        <is>
          <t>Codigo_SKU</t>
        </is>
      </c>
      <c r="I1" s="1" t="inlineStr">
        <is>
          <t>Fase_Desarrollo</t>
        </is>
      </c>
      <c r="J1" s="1" t="inlineStr">
        <is>
          <t>Piezas_Anual</t>
        </is>
      </c>
      <c r="K1" s="1" t="inlineStr">
        <is>
          <t>Kg_Unitario</t>
        </is>
      </c>
      <c r="L1" s="1" t="inlineStr">
        <is>
          <t>Precio_Unitario_MXN</t>
        </is>
      </c>
      <c r="M1" s="1" t="inlineStr">
        <is>
          <t>Volumen_Total_Kg</t>
        </is>
      </c>
      <c r="N1" s="1" t="inlineStr">
        <is>
          <t>Venta_Total_MXN</t>
        </is>
      </c>
      <c r="O1" s="1" t="inlineStr">
        <is>
          <t>Probabilidad_Cierre</t>
        </is>
      </c>
      <c r="P1" s="1" t="inlineStr">
        <is>
          <t>Venta_Ponderada_MXN</t>
        </is>
      </c>
      <c r="Q1" s="1" t="inlineStr">
        <is>
          <t>Fecha_Estimada_Inicio</t>
        </is>
      </c>
      <c r="R1" s="1" t="inlineStr">
        <is>
          <t>Notas_Comerciales</t>
        </is>
      </c>
    </row>
    <row r="2">
      <c r="A2" t="inlineStr">
        <is>
          <t>proj-001</t>
        </is>
      </c>
      <c r="B2" t="inlineStr">
        <is>
          <t>2026-08-18 18:53</t>
        </is>
      </c>
      <c r="C2" t="inlineStr">
        <is>
          <t>KAM Food Service</t>
        </is>
      </c>
      <c r="D2" t="inlineStr">
        <is>
          <t>Grupo Sushi Roll (50 Sucursales)</t>
        </is>
      </c>
      <c r="E2" t="inlineStr">
        <is>
          <t>Cadenas de Restaurantes</t>
        </is>
      </c>
      <c r="F2" t="inlineStr">
        <is>
          <t>Salsa Teriyaki</t>
        </is>
      </c>
      <c r="G2" t="inlineStr">
        <is>
          <t>3.8 L</t>
        </is>
      </c>
      <c r="H2" t="inlineStr">
        <is>
          <t>Teriyaki-3.78</t>
        </is>
      </c>
      <c r="I2" t="inlineStr">
        <is>
          <t>Fase 1 (Desarrollar)</t>
        </is>
      </c>
      <c r="J2" s="2" t="n">
        <v>1800</v>
      </c>
      <c r="K2" s="2" t="n">
        <v>4.72</v>
      </c>
      <c r="L2" s="3" t="n">
        <v>316</v>
      </c>
      <c r="M2" s="2">
        <f>J2*K2</f>
        <v/>
      </c>
      <c r="N2" s="3">
        <f>J2*L2</f>
        <v/>
      </c>
      <c r="O2" s="4" t="n">
        <v>0.8</v>
      </c>
      <c r="P2" s="3">
        <f>N2*O2</f>
        <v/>
      </c>
      <c r="Q2" t="inlineStr">
        <is>
          <t>2026-10</t>
        </is>
      </c>
      <c r="R2" t="inlineStr">
        <is>
          <t>Abastecimiento mensual centralizado para cocina caliente.</t>
        </is>
      </c>
    </row>
    <row r="3">
      <c r="A3" t="inlineStr">
        <is>
          <t>proj-002</t>
        </is>
      </c>
      <c r="B3" t="inlineStr">
        <is>
          <t>2026-08-18 18:53</t>
        </is>
      </c>
      <c r="C3" t="inlineStr">
        <is>
          <t>KAM Food Service</t>
        </is>
      </c>
      <c r="D3" t="inlineStr">
        <is>
          <t>Cadena Alitas &amp; Chelas</t>
        </is>
      </c>
      <c r="E3" t="inlineStr">
        <is>
          <t>Cadenas de Restaurantes</t>
        </is>
      </c>
      <c r="F3" t="inlineStr">
        <is>
          <t>Salsa Sriracha</t>
        </is>
      </c>
      <c r="G3" t="inlineStr">
        <is>
          <t>3.8 L</t>
        </is>
      </c>
      <c r="H3" t="inlineStr">
        <is>
          <t>Sriracha-3.78</t>
        </is>
      </c>
      <c r="I3" t="inlineStr">
        <is>
          <t>Fase 1 (Desarrollar)</t>
        </is>
      </c>
      <c r="J3" s="2" t="n">
        <v>1200</v>
      </c>
      <c r="K3" s="2" t="n">
        <v>4.5</v>
      </c>
      <c r="L3" s="3" t="n">
        <v>316</v>
      </c>
      <c r="M3" s="2">
        <f>J3*K3</f>
        <v/>
      </c>
      <c r="N3" s="3">
        <f>J3*L3</f>
        <v/>
      </c>
      <c r="O3" s="4" t="n">
        <v>0.8</v>
      </c>
      <c r="P3" s="3">
        <f>N3*O3</f>
        <v/>
      </c>
      <c r="Q3" t="inlineStr">
        <is>
          <t>2026-10</t>
        </is>
      </c>
      <c r="R3" t="inlineStr">
        <is>
          <t>Base para marinado y glaseado de alitas spicy.</t>
        </is>
      </c>
    </row>
    <row r="4">
      <c r="A4" t="inlineStr">
        <is>
          <t>proj-003</t>
        </is>
      </c>
      <c r="B4" t="inlineStr">
        <is>
          <t>2026-08-18 18:53</t>
        </is>
      </c>
      <c r="C4" t="inlineStr">
        <is>
          <t>KAM Clientes Especiales</t>
        </is>
      </c>
      <c r="D4" t="inlineStr">
        <is>
          <t>Alimentos Procesados de Occidente</t>
        </is>
      </c>
      <c r="E4" t="inlineStr">
        <is>
          <t>Transformadores de Alimentos</t>
        </is>
      </c>
      <c r="F4" t="inlineStr">
        <is>
          <t>Salsa de Soya</t>
        </is>
      </c>
      <c r="G4" t="inlineStr">
        <is>
          <t>20 L</t>
        </is>
      </c>
      <c r="H4" t="inlineStr">
        <is>
          <t>Soya-20</t>
        </is>
      </c>
      <c r="I4" t="inlineStr">
        <is>
          <t>Fase 1 (Desarrollar)</t>
        </is>
      </c>
      <c r="J4" s="2" t="n">
        <v>480</v>
      </c>
      <c r="K4" s="2" t="n">
        <v>21.16</v>
      </c>
      <c r="L4" s="3" t="n">
        <v>505</v>
      </c>
      <c r="M4" s="2">
        <f>J4*K4</f>
        <v/>
      </c>
      <c r="N4" s="3">
        <f>J4*L4</f>
        <v/>
      </c>
      <c r="O4" s="4" t="n">
        <v>1</v>
      </c>
      <c r="P4" s="3">
        <f>N4*O4</f>
        <v/>
      </c>
      <c r="Q4" t="inlineStr">
        <is>
          <t>2026-09</t>
        </is>
      </c>
      <c r="R4" t="inlineStr">
        <is>
          <t>Marinado industrial de proteína cárnica.</t>
        </is>
      </c>
    </row>
    <row r="5">
      <c r="A5" t="inlineStr">
        <is>
          <t>proj-004</t>
        </is>
      </c>
      <c r="B5" t="inlineStr">
        <is>
          <t>2026-08-18 18:53</t>
        </is>
      </c>
      <c r="C5" t="inlineStr">
        <is>
          <t>KAM Mayoristas/Retail</t>
        </is>
      </c>
      <c r="D5" t="inlineStr">
        <is>
          <t>Distribuidora Gastronómica Nacional</t>
        </is>
      </c>
      <c r="E5" t="inlineStr">
        <is>
          <t>Distribuidor Food Service</t>
        </is>
      </c>
      <c r="F5" t="inlineStr">
        <is>
          <t>Salsa de Anguila</t>
        </is>
      </c>
      <c r="G5" t="inlineStr">
        <is>
          <t>946 ml</t>
        </is>
      </c>
      <c r="H5" t="inlineStr">
        <is>
          <t>Anguila-0.946</t>
        </is>
      </c>
      <c r="I5" t="inlineStr">
        <is>
          <t>Fase 1 (Desarrollar)</t>
        </is>
      </c>
      <c r="J5" s="2" t="n">
        <v>2400</v>
      </c>
      <c r="K5" s="2" t="n">
        <v>1.18</v>
      </c>
      <c r="L5" s="3" t="n">
        <v>105</v>
      </c>
      <c r="M5" s="2">
        <f>J5*K5</f>
        <v/>
      </c>
      <c r="N5" s="3">
        <f>J5*L5</f>
        <v/>
      </c>
      <c r="O5" s="4" t="n">
        <v>0.8</v>
      </c>
      <c r="P5" s="3">
        <f>N5*O5</f>
        <v/>
      </c>
      <c r="Q5" t="inlineStr">
        <is>
          <t>2026-10</t>
        </is>
      </c>
      <c r="R5" t="inlineStr">
        <is>
          <t>Distribución en restaurantes japoneses independientes.</t>
        </is>
      </c>
    </row>
    <row r="6">
      <c r="A6" t="inlineStr">
        <is>
          <t>proj-005</t>
        </is>
      </c>
      <c r="B6" t="inlineStr">
        <is>
          <t>2026-08-18 18:53</t>
        </is>
      </c>
      <c r="C6" t="inlineStr">
        <is>
          <t>KAM Sureste</t>
        </is>
      </c>
      <c r="D6" t="inlineStr">
        <is>
          <t>Catering Cancún &amp; Riviera Maya</t>
        </is>
      </c>
      <c r="E6" t="inlineStr">
        <is>
          <t>Distribuidor Mayorista</t>
        </is>
      </c>
      <c r="F6" t="inlineStr">
        <is>
          <t>Salsa Ponzu</t>
        </is>
      </c>
      <c r="G6" t="inlineStr">
        <is>
          <t>3.8 L</t>
        </is>
      </c>
      <c r="H6" t="inlineStr">
        <is>
          <t>Ponzu-3.78</t>
        </is>
      </c>
      <c r="I6" t="inlineStr">
        <is>
          <t>Fase 1 (Desarrollar)</t>
        </is>
      </c>
      <c r="J6" s="2" t="n">
        <v>600</v>
      </c>
      <c r="K6" s="2" t="n">
        <v>4</v>
      </c>
      <c r="L6" s="3" t="n">
        <v>178</v>
      </c>
      <c r="M6" s="2">
        <f>J6*K6</f>
        <v/>
      </c>
      <c r="N6" s="3">
        <f>J6*L6</f>
        <v/>
      </c>
      <c r="O6" s="4" t="n">
        <v>0.8</v>
      </c>
      <c r="P6" s="3">
        <f>N6*O6</f>
        <v/>
      </c>
      <c r="Q6" t="inlineStr">
        <is>
          <t>2026-10</t>
        </is>
      </c>
      <c r="R6" t="inlineStr">
        <is>
          <t>Barras de mariscos y ceviches en hotelería.</t>
        </is>
      </c>
    </row>
    <row r="7">
      <c r="A7" t="inlineStr">
        <is>
          <t>proj-006</t>
        </is>
      </c>
      <c r="B7" t="inlineStr">
        <is>
          <t>2026-08-18 18:53</t>
        </is>
      </c>
      <c r="C7" t="inlineStr">
        <is>
          <t>Ecommerce</t>
        </is>
      </c>
      <c r="D7" t="inlineStr">
        <is>
          <t>Canal Digital MrWings.com / Mercado Libre</t>
        </is>
      </c>
      <c r="E7" t="inlineStr">
        <is>
          <t>Mercado Libre</t>
        </is>
      </c>
      <c r="F7" t="inlineStr">
        <is>
          <t>Salsa Samyang</t>
        </is>
      </c>
      <c r="G7" t="inlineStr">
        <is>
          <t>946 ml</t>
        </is>
      </c>
      <c r="H7" t="inlineStr">
        <is>
          <t>Samyang-0.946</t>
        </is>
      </c>
      <c r="I7" t="inlineStr">
        <is>
          <t>Fase 1 (Desarrollar)</t>
        </is>
      </c>
      <c r="J7" s="2" t="n">
        <v>1500</v>
      </c>
      <c r="K7" s="2" t="n">
        <v>1.13</v>
      </c>
      <c r="L7" s="3" t="n">
        <v>105</v>
      </c>
      <c r="M7" s="2">
        <f>J7*K7</f>
        <v/>
      </c>
      <c r="N7" s="3">
        <f>J7*L7</f>
        <v/>
      </c>
      <c r="O7" s="4" t="n">
        <v>0.8</v>
      </c>
      <c r="P7" s="3">
        <f>N7*O7</f>
        <v/>
      </c>
      <c r="Q7" t="inlineStr">
        <is>
          <t>2026-09</t>
        </is>
      </c>
      <c r="R7" t="inlineStr">
        <is>
          <t>Venta directa a consumidores amantes del picor extremo coreano.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2026-08-19T00:53:24Z</dcterms:created>
  <dcterms:modified xsi:type="dcterms:W3CDTF">2026-08-19T00:53:24Z</dcterms:modified>
</cp:coreProperties>
</file>